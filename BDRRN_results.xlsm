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xr:revisionPtr revIDLastSave="0" documentId="13_ncr:1_{8888374B-C95E-48C0-9EB8-BD7D26EA251E}" xr6:coauthVersionLast="45" xr6:coauthVersionMax="45" xr10:uidLastSave="{00000000-0000-0000-0000-000000000000}"/>
  <bookViews>
    <workbookView xWindow="1455" yWindow="2190" windowWidth="25665" windowHeight="12780" xr2:uid="{39AE3CD9-90EA-433E-BE10-28FC097D4C84}"/>
  </bookViews>
  <sheets>
    <sheet name="Sheet1" sheetId="4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51" i="4" l="1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152" i="4" s="1"/>
  <c r="M83" i="4"/>
  <c r="M82" i="4"/>
  <c r="M81" i="4"/>
  <c r="M80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152" i="4" s="1"/>
  <c r="AC74" i="4"/>
  <c r="AC73" i="4"/>
  <c r="AC72" i="4"/>
  <c r="AC71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5" i="4" s="1"/>
  <c r="AC7" i="4"/>
  <c r="AC6" i="4"/>
  <c r="AC5" i="4"/>
  <c r="AC4" i="4"/>
  <c r="AC3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U5" i="4"/>
  <c r="U4" i="4"/>
  <c r="U3" i="4"/>
  <c r="U75" i="4" s="1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75" i="4" s="1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75" i="4" s="1"/>
  <c r="E4" i="4"/>
  <c r="E3" i="4"/>
  <c r="O104" i="4"/>
  <c r="O132" i="4"/>
  <c r="O84" i="4"/>
  <c r="O112" i="4"/>
  <c r="O140" i="4"/>
  <c r="O92" i="4"/>
  <c r="O120" i="4"/>
  <c r="O144" i="4"/>
  <c r="O96" i="4"/>
  <c r="O148" i="4"/>
  <c r="O100" i="4"/>
  <c r="O128" i="4"/>
  <c r="O80" i="4"/>
  <c r="O124" i="4"/>
  <c r="O108" i="4"/>
  <c r="O116" i="4"/>
  <c r="O136" i="4"/>
  <c r="O88" i="4"/>
  <c r="G104" i="4"/>
  <c r="G140" i="4"/>
  <c r="G88" i="4"/>
  <c r="G124" i="4"/>
  <c r="G132" i="4"/>
  <c r="G84" i="4"/>
  <c r="G112" i="4"/>
  <c r="G92" i="4"/>
  <c r="G120" i="4"/>
  <c r="G148" i="4"/>
  <c r="G100" i="4"/>
  <c r="G80" i="4"/>
  <c r="G108" i="4"/>
  <c r="G96" i="4"/>
  <c r="G128" i="4"/>
  <c r="G136" i="4"/>
  <c r="G116" i="4"/>
  <c r="G144" i="4"/>
  <c r="AE55" i="4"/>
  <c r="AE7" i="4"/>
  <c r="AE35" i="4"/>
  <c r="AE63" i="4"/>
  <c r="AE15" i="4"/>
  <c r="AE47" i="4"/>
  <c r="AE27" i="4"/>
  <c r="AE43" i="4"/>
  <c r="AE71" i="4"/>
  <c r="AE23" i="4"/>
  <c r="AE11" i="4"/>
  <c r="AE19" i="4"/>
  <c r="AE51" i="4"/>
  <c r="AE3" i="4"/>
  <c r="AE31" i="4"/>
  <c r="AE59" i="4"/>
  <c r="AE39" i="4"/>
  <c r="AE67" i="4"/>
  <c r="W55" i="4"/>
  <c r="W7" i="4"/>
  <c r="W15" i="4"/>
  <c r="W35" i="4"/>
  <c r="W63" i="4"/>
  <c r="W27" i="4"/>
  <c r="W43" i="4"/>
  <c r="W39" i="4"/>
  <c r="W71" i="4"/>
  <c r="W23" i="4"/>
  <c r="W51" i="4"/>
  <c r="W3" i="4"/>
  <c r="W31" i="4"/>
  <c r="W59" i="4"/>
  <c r="W11" i="4"/>
  <c r="W67" i="4"/>
  <c r="W19" i="4"/>
  <c r="W47" i="4"/>
  <c r="O27" i="4"/>
  <c r="O55" i="4"/>
  <c r="O7" i="4"/>
  <c r="O35" i="4"/>
  <c r="O15" i="4"/>
  <c r="O43" i="4"/>
  <c r="O63" i="4"/>
  <c r="O71" i="4"/>
  <c r="O23" i="4"/>
  <c r="O39" i="4"/>
  <c r="O19" i="4"/>
  <c r="O51" i="4"/>
  <c r="O3" i="4"/>
  <c r="O47" i="4"/>
  <c r="O31" i="4"/>
  <c r="O11" i="4"/>
  <c r="O59" i="4"/>
  <c r="O67" i="4"/>
  <c r="G43" i="4"/>
  <c r="G15" i="4"/>
  <c r="G63" i="4"/>
  <c r="G71" i="4"/>
  <c r="G23" i="4"/>
  <c r="G55" i="4"/>
  <c r="G7" i="4"/>
  <c r="G35" i="4"/>
  <c r="G51" i="4"/>
  <c r="G3" i="4"/>
  <c r="G27" i="4"/>
  <c r="G31" i="4"/>
  <c r="G39" i="4"/>
  <c r="G47" i="4"/>
  <c r="G59" i="4"/>
  <c r="G11" i="4"/>
  <c r="G67" i="4"/>
  <c r="G19" i="4"/>
  <c r="O152" i="4" l="1"/>
  <c r="G152" i="4"/>
  <c r="AE75" i="4"/>
  <c r="W75" i="4"/>
  <c r="O75" i="4"/>
  <c r="G75" i="4"/>
</calcChain>
</file>

<file path=xl/sharedStrings.xml><?xml version="1.0" encoding="utf-8"?>
<sst xmlns="http://schemas.openxmlformats.org/spreadsheetml/2006/main" count="162" uniqueCount="32">
  <si>
    <t>Sequences</t>
  </si>
  <si>
    <t>QP</t>
  </si>
  <si>
    <t>PSNR</t>
  </si>
  <si>
    <t>BQSquare</t>
  </si>
  <si>
    <t>DeltaPSNR</t>
  </si>
  <si>
    <t>BD-rate</t>
  </si>
  <si>
    <t>BQTerrace</t>
  </si>
  <si>
    <t>Traffic</t>
  </si>
  <si>
    <t>RaceHorces C</t>
  </si>
  <si>
    <t>Johnny</t>
  </si>
  <si>
    <t>HM PSNR</t>
  </si>
  <si>
    <t>Bit-rate HM</t>
  </si>
  <si>
    <t>Average</t>
  </si>
  <si>
    <t>ARCNN</t>
  </si>
  <si>
    <t>VRCNN</t>
  </si>
  <si>
    <t>DCAD</t>
  </si>
  <si>
    <t>DRRN</t>
  </si>
  <si>
    <t>RaceHorces D</t>
  </si>
  <si>
    <t>BlowingBubbles</t>
  </si>
  <si>
    <t>PeopleOnStreet</t>
  </si>
  <si>
    <t>Kimono</t>
  </si>
  <si>
    <t>ParkSence</t>
  </si>
  <si>
    <t>Cactus</t>
  </si>
  <si>
    <t>BasketballDrive</t>
  </si>
  <si>
    <t>BasketballDrill</t>
  </si>
  <si>
    <t>BQMall</t>
  </si>
  <si>
    <t>PartyScene</t>
  </si>
  <si>
    <t>BasketballPass</t>
  </si>
  <si>
    <t>FourPeople</t>
  </si>
  <si>
    <t>Kristen&amp;Sara</t>
  </si>
  <si>
    <t>BDRRN_Adding</t>
  </si>
  <si>
    <t>BDRRN_Concat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</si>
</sst>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30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7" xfId="0" applyBorder="1"/>
    <xf numFmtId="0" fontId="0" fillId="0" borderId="6" xfId="0" applyBorder="1"/>
    <xf numFmtId="0" fontId="0" fillId="0" borderId="12" xfId="0" applyBorder="1"/>
    <xf numFmtId="0" fontId="0" fillId="0" borderId="14" xfId="0" applyBorder="1"/>
    <xf numFmtId="0" fontId="1" fillId="0" borderId="13" xfId="0" applyFont="1" applyBorder="1"/>
    <xf numFmtId="10" fontId="0" fillId="0" borderId="11" xfId="1" applyNumberFormat="1" applyFont="1" applyBorder="1"/>
    <xf numFmtId="10" fontId="0" fillId="0" borderId="16" xfId="0" applyNumberFormat="1" applyBorder="1"/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0" xfId="0" applyBorder="1"/>
    <xf numFmtId="0" fontId="0" fillId="0" borderId="1" xfId="0" applyBorder="1"/>
    <xf numFmtId="0" fontId="3" fillId="2" borderId="0" xfId="2"/>
    <xf numFmtId="0" fontId="3" fillId="3" borderId="0" xfId="3"/>
  </cellXfs>
  <cellStyles count="4">
    <cellStyle name="Accent3" xfId="2" builtinId="37"/>
    <cellStyle name="Accent5" xfId="3" builtinId="45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D48-A74B-405C-A687-5702E92FE65D}">
  <dimension ref="A1:AE152"/>
  <sheetViews>
    <sheetView tabSelected="1" topLeftCell="A130" workbookViewId="0">
      <selection activeCell="AC15" sqref="AC15"/>
    </sheetView>
  </sheetViews>
  <sheetFormatPr defaultRowHeight="15" x14ac:dyDescent="0.25"/>
  <cols>
    <col min="1" max="1" width="15.42578125" bestFit="1" customWidth="1"/>
    <col min="8" max="8" width="9.140625" style="28"/>
    <col min="9" max="9" width="15.42578125" bestFit="1" customWidth="1"/>
    <col min="16" max="16" width="9.140625" style="28"/>
    <col min="17" max="17" width="15.42578125" bestFit="1" customWidth="1"/>
    <col min="24" max="24" width="9.140625" style="28"/>
    <col min="25" max="25" width="15.42578125" bestFit="1" customWidth="1"/>
  </cols>
  <sheetData>
    <row r="1" spans="1:31" ht="15.75" thickBot="1" x14ac:dyDescent="0.3">
      <c r="A1" s="18" t="s">
        <v>13</v>
      </c>
      <c r="B1" s="19"/>
      <c r="C1" s="19"/>
      <c r="D1" s="19"/>
      <c r="E1" s="19"/>
      <c r="F1" s="19"/>
      <c r="G1" s="19"/>
      <c r="I1" s="18" t="s">
        <v>14</v>
      </c>
      <c r="J1" s="19"/>
      <c r="K1" s="19"/>
      <c r="L1" s="19"/>
      <c r="M1" s="19"/>
      <c r="N1" s="19"/>
      <c r="O1" s="19"/>
      <c r="Q1" s="18" t="s">
        <v>15</v>
      </c>
      <c r="R1" s="19"/>
      <c r="S1" s="19"/>
      <c r="T1" s="19"/>
      <c r="U1" s="19"/>
      <c r="V1" s="19"/>
      <c r="W1" s="19"/>
      <c r="Y1" s="18" t="s">
        <v>16</v>
      </c>
      <c r="Z1" s="19"/>
      <c r="AA1" s="19"/>
      <c r="AB1" s="19"/>
      <c r="AC1" s="19"/>
      <c r="AD1" s="19"/>
      <c r="AE1" s="19"/>
    </row>
    <row r="2" spans="1:31" ht="15.75" thickBot="1" x14ac:dyDescent="0.3">
      <c r="A2" s="4" t="s">
        <v>0</v>
      </c>
      <c r="B2" s="4" t="s">
        <v>1</v>
      </c>
      <c r="C2" s="4" t="s">
        <v>10</v>
      </c>
      <c r="D2" s="5" t="s">
        <v>2</v>
      </c>
      <c r="E2" s="4" t="s">
        <v>4</v>
      </c>
      <c r="F2" s="26" t="s">
        <v>11</v>
      </c>
      <c r="G2" s="27" t="s">
        <v>5</v>
      </c>
      <c r="I2" s="4" t="s">
        <v>0</v>
      </c>
      <c r="J2" s="4" t="s">
        <v>1</v>
      </c>
      <c r="K2" s="4" t="s">
        <v>10</v>
      </c>
      <c r="L2" s="5" t="s">
        <v>2</v>
      </c>
      <c r="M2" s="4" t="s">
        <v>4</v>
      </c>
      <c r="N2" s="26" t="s">
        <v>11</v>
      </c>
      <c r="O2" s="27" t="s">
        <v>5</v>
      </c>
      <c r="Q2" s="5" t="s">
        <v>0</v>
      </c>
      <c r="R2" s="4" t="s">
        <v>1</v>
      </c>
      <c r="S2" s="4" t="s">
        <v>10</v>
      </c>
      <c r="T2" s="5" t="s">
        <v>2</v>
      </c>
      <c r="U2" s="4" t="s">
        <v>4</v>
      </c>
      <c r="V2" s="26" t="s">
        <v>11</v>
      </c>
      <c r="W2" s="27" t="s">
        <v>5</v>
      </c>
      <c r="Y2" s="4" t="s">
        <v>0</v>
      </c>
      <c r="Z2" s="4" t="s">
        <v>1</v>
      </c>
      <c r="AA2" s="4" t="s">
        <v>10</v>
      </c>
      <c r="AB2" s="5" t="s">
        <v>2</v>
      </c>
      <c r="AC2" s="4" t="s">
        <v>4</v>
      </c>
      <c r="AD2" s="26" t="s">
        <v>11</v>
      </c>
      <c r="AE2" s="27" t="s">
        <v>5</v>
      </c>
    </row>
    <row r="3" spans="1:31" x14ac:dyDescent="0.25">
      <c r="A3" s="24" t="s">
        <v>7</v>
      </c>
      <c r="B3" s="3">
        <v>22</v>
      </c>
      <c r="C3" s="1">
        <v>41.591728000000003</v>
      </c>
      <c r="D3" s="1">
        <v>41.582129000000002</v>
      </c>
      <c r="E3" s="2">
        <f t="shared" ref="E3:E66" si="0">D3-C3</f>
        <v>-9.5990000000014675E-3</v>
      </c>
      <c r="F3" s="6">
        <v>13266.992899999999</v>
      </c>
      <c r="G3" s="12">
        <f>bdrate(F3:F6,C3:C6,F3:F6,D3:D6)</f>
        <v>-3.0276975072560219E-2</v>
      </c>
      <c r="I3" s="24" t="s">
        <v>7</v>
      </c>
      <c r="J3" s="3">
        <v>22</v>
      </c>
      <c r="K3" s="1">
        <v>41.591728000000003</v>
      </c>
      <c r="L3" s="1">
        <v>41.623874000000001</v>
      </c>
      <c r="M3" s="2">
        <f t="shared" ref="M3:M69" si="1">L3-K3</f>
        <v>3.2145999999997343E-2</v>
      </c>
      <c r="N3" s="6">
        <v>13266.992899999999</v>
      </c>
      <c r="O3" s="12">
        <f>bdrate(N3:N6,K3:K6,N3:N6,L3:L6)</f>
        <v>-4.1441100481110604E-2</v>
      </c>
      <c r="Q3" s="20" t="s">
        <v>7</v>
      </c>
      <c r="R3" s="3">
        <v>22</v>
      </c>
      <c r="S3" s="1">
        <v>41.591728000000003</v>
      </c>
      <c r="T3" s="1">
        <v>41.640020999999997</v>
      </c>
      <c r="U3" s="2">
        <f t="shared" ref="U3:U69" si="2">T3-S3</f>
        <v>4.8292999999993924E-2</v>
      </c>
      <c r="V3" s="6">
        <v>13266.992899999999</v>
      </c>
      <c r="W3" s="12">
        <f>bdrate(V3:V6,S3:S6,V3:V6,T3:T6)</f>
        <v>-5.6887685128833021E-2</v>
      </c>
      <c r="Y3" s="24" t="s">
        <v>7</v>
      </c>
      <c r="Z3" s="3">
        <v>22</v>
      </c>
      <c r="AA3" s="1">
        <v>41.591728000000003</v>
      </c>
      <c r="AB3" s="1">
        <v>41.659823000000003</v>
      </c>
      <c r="AC3" s="2">
        <f t="shared" ref="AC3:AC66" si="3">AB3-AA3</f>
        <v>6.8094999999999573E-2</v>
      </c>
      <c r="AD3" s="6">
        <v>13266.992899999999</v>
      </c>
      <c r="AE3" s="12">
        <f>bdrate(AD3:AD6,AA3:AA6,AD3:AD6,AB3:AB6)</f>
        <v>-6.8491487685373609E-2</v>
      </c>
    </row>
    <row r="4" spans="1:31" x14ac:dyDescent="0.25">
      <c r="A4" s="15"/>
      <c r="B4" s="3">
        <v>27</v>
      </c>
      <c r="C4" s="1">
        <v>38.899337000000003</v>
      </c>
      <c r="D4" s="1">
        <v>38.991233000000001</v>
      </c>
      <c r="E4" s="2">
        <f t="shared" si="0"/>
        <v>9.1895999999998423E-2</v>
      </c>
      <c r="F4" s="6">
        <v>4558.9458999999997</v>
      </c>
      <c r="G4" s="12"/>
      <c r="I4" s="15"/>
      <c r="J4" s="3">
        <v>27</v>
      </c>
      <c r="K4" s="1">
        <v>38.899337000000003</v>
      </c>
      <c r="L4" s="1">
        <v>39.000124999999997</v>
      </c>
      <c r="M4" s="2">
        <f t="shared" si="1"/>
        <v>0.10078799999999433</v>
      </c>
      <c r="N4" s="6">
        <v>4558.9458999999997</v>
      </c>
      <c r="O4" s="12"/>
      <c r="Q4" s="21"/>
      <c r="R4" s="3">
        <v>27</v>
      </c>
      <c r="S4" s="1">
        <v>38.899337000000003</v>
      </c>
      <c r="T4" s="1">
        <v>39.055278999999999</v>
      </c>
      <c r="U4" s="2">
        <f t="shared" si="2"/>
        <v>0.15594199999999603</v>
      </c>
      <c r="V4" s="6">
        <v>4558.9458999999997</v>
      </c>
      <c r="W4" s="12"/>
      <c r="Y4" s="15"/>
      <c r="Z4" s="3">
        <v>27</v>
      </c>
      <c r="AA4" s="1">
        <v>38.899337000000003</v>
      </c>
      <c r="AB4" s="1">
        <v>39.070549999999997</v>
      </c>
      <c r="AC4" s="2">
        <f t="shared" si="3"/>
        <v>0.17121299999999451</v>
      </c>
      <c r="AD4" s="6">
        <v>4558.9458999999997</v>
      </c>
      <c r="AE4" s="12"/>
    </row>
    <row r="5" spans="1:31" x14ac:dyDescent="0.25">
      <c r="A5" s="15"/>
      <c r="B5" s="3">
        <v>32</v>
      </c>
      <c r="C5" s="1">
        <v>36.617277000000001</v>
      </c>
      <c r="D5" s="1">
        <v>36.709065000000002</v>
      </c>
      <c r="E5" s="2">
        <f t="shared" si="0"/>
        <v>9.1788000000001091E-2</v>
      </c>
      <c r="F5" s="6">
        <v>2000.6024</v>
      </c>
      <c r="G5" s="12"/>
      <c r="I5" s="15"/>
      <c r="J5" s="3">
        <v>32</v>
      </c>
      <c r="K5" s="1">
        <v>36.617277000000001</v>
      </c>
      <c r="L5" s="1">
        <v>36.770072999999996</v>
      </c>
      <c r="M5" s="2">
        <f t="shared" si="1"/>
        <v>0.15279599999999505</v>
      </c>
      <c r="N5" s="6">
        <v>2000.6024</v>
      </c>
      <c r="O5" s="12"/>
      <c r="Q5" s="21"/>
      <c r="R5" s="3">
        <v>32</v>
      </c>
      <c r="S5" s="1">
        <v>36.617277000000001</v>
      </c>
      <c r="T5" s="1">
        <v>36.808962000000001</v>
      </c>
      <c r="U5" s="2">
        <f t="shared" si="2"/>
        <v>0.19168499999999966</v>
      </c>
      <c r="V5" s="6">
        <v>2000.6024</v>
      </c>
      <c r="W5" s="12"/>
      <c r="Y5" s="15"/>
      <c r="Z5" s="3">
        <v>32</v>
      </c>
      <c r="AA5" s="1">
        <v>36.617277000000001</v>
      </c>
      <c r="AB5" s="1">
        <v>36.870091000000002</v>
      </c>
      <c r="AC5" s="2">
        <f t="shared" si="3"/>
        <v>0.25281400000000076</v>
      </c>
      <c r="AD5" s="6">
        <v>2000.6024</v>
      </c>
      <c r="AE5" s="12"/>
    </row>
    <row r="6" spans="1:31" ht="15.75" thickBot="1" x14ac:dyDescent="0.3">
      <c r="A6" s="16"/>
      <c r="B6" s="3">
        <v>37</v>
      </c>
      <c r="C6" s="1">
        <v>34.547825000000003</v>
      </c>
      <c r="D6" s="1">
        <v>34.718522999999998</v>
      </c>
      <c r="E6" s="2">
        <f t="shared" si="0"/>
        <v>0.17069799999999447</v>
      </c>
      <c r="F6" s="6">
        <v>980.52520000000004</v>
      </c>
      <c r="G6" s="12"/>
      <c r="I6" s="16"/>
      <c r="J6" s="3">
        <v>37</v>
      </c>
      <c r="K6" s="1">
        <v>34.547825000000003</v>
      </c>
      <c r="L6" s="1">
        <v>34.728754000000002</v>
      </c>
      <c r="M6" s="2">
        <f t="shared" si="1"/>
        <v>0.18092899999999901</v>
      </c>
      <c r="N6" s="6">
        <v>980.52520000000004</v>
      </c>
      <c r="O6" s="12"/>
      <c r="Q6" s="22"/>
      <c r="R6" s="3">
        <v>37</v>
      </c>
      <c r="S6" s="1">
        <v>34.547825000000003</v>
      </c>
      <c r="T6" s="1">
        <v>34.779018000000001</v>
      </c>
      <c r="U6" s="2">
        <f t="shared" si="2"/>
        <v>0.23119299999999754</v>
      </c>
      <c r="V6" s="6">
        <v>980.52520000000004</v>
      </c>
      <c r="W6" s="12"/>
      <c r="Y6" s="16"/>
      <c r="Z6" s="3">
        <v>37</v>
      </c>
      <c r="AA6" s="1">
        <v>34.547825000000003</v>
      </c>
      <c r="AB6" s="1">
        <v>34.817745000000002</v>
      </c>
      <c r="AC6" s="2">
        <f t="shared" si="3"/>
        <v>0.26991999999999905</v>
      </c>
      <c r="AD6" s="6">
        <v>980.52520000000004</v>
      </c>
      <c r="AE6" s="12"/>
    </row>
    <row r="7" spans="1:31" x14ac:dyDescent="0.25">
      <c r="A7" s="24" t="s">
        <v>19</v>
      </c>
      <c r="B7" s="3">
        <v>22</v>
      </c>
      <c r="C7" s="1">
        <v>40.690674999999999</v>
      </c>
      <c r="D7" s="1">
        <v>40.845291000000003</v>
      </c>
      <c r="E7" s="2">
        <f t="shared" si="0"/>
        <v>0.15461600000000431</v>
      </c>
      <c r="F7" s="6">
        <v>38581.487099999998</v>
      </c>
      <c r="G7" s="12">
        <f>bdrate(F7:F10,C7:C10,F7:F10,D7:D10)</f>
        <v>-3.6105425399104107E-2</v>
      </c>
      <c r="I7" s="24" t="s">
        <v>19</v>
      </c>
      <c r="J7" s="3">
        <v>22</v>
      </c>
      <c r="K7" s="1">
        <v>40.690674999999999</v>
      </c>
      <c r="L7" s="1">
        <v>40.86703</v>
      </c>
      <c r="M7" s="2">
        <f t="shared" si="1"/>
        <v>0.17635500000000093</v>
      </c>
      <c r="N7" s="6">
        <v>38581.487099999998</v>
      </c>
      <c r="O7" s="12">
        <f>bdrate(N7:N10,K7:K10,N7:N10,L7:L10)</f>
        <v>-5.3366044811553937E-2</v>
      </c>
      <c r="Q7" s="24" t="s">
        <v>19</v>
      </c>
      <c r="R7" s="3">
        <v>22</v>
      </c>
      <c r="S7" s="1">
        <v>40.690674999999999</v>
      </c>
      <c r="T7" s="1">
        <v>40.865302</v>
      </c>
      <c r="U7" s="2">
        <f t="shared" si="2"/>
        <v>0.17462700000000098</v>
      </c>
      <c r="V7" s="6">
        <v>38581.487099999998</v>
      </c>
      <c r="W7" s="12">
        <f>bdrate(V7:V10,S7:S10,V7:V10,T7:T10)</f>
        <v>-6.8321960076074495E-2</v>
      </c>
      <c r="Y7" s="24" t="s">
        <v>19</v>
      </c>
      <c r="Z7" s="3">
        <v>22</v>
      </c>
      <c r="AA7" s="1">
        <v>40.690674999999999</v>
      </c>
      <c r="AB7" s="1">
        <v>40.883949999999999</v>
      </c>
      <c r="AC7" s="2">
        <f t="shared" si="3"/>
        <v>0.19327499999999986</v>
      </c>
      <c r="AD7" s="6">
        <v>38581.487099999998</v>
      </c>
      <c r="AE7" s="12">
        <f>bdrate(AD7:AD10,AA7:AA10,AD7:AD10,AB7:AB10)</f>
        <v>-7.3948076370631055E-2</v>
      </c>
    </row>
    <row r="8" spans="1:31" x14ac:dyDescent="0.25">
      <c r="A8" s="15"/>
      <c r="B8" s="3">
        <v>27</v>
      </c>
      <c r="C8" s="1">
        <v>37.53593</v>
      </c>
      <c r="D8" s="1">
        <v>37.658453999999999</v>
      </c>
      <c r="E8" s="2">
        <f t="shared" si="0"/>
        <v>0.12252399999999852</v>
      </c>
      <c r="F8" s="6">
        <v>16809.919999999998</v>
      </c>
      <c r="G8" s="12"/>
      <c r="I8" s="15"/>
      <c r="J8" s="3">
        <v>27</v>
      </c>
      <c r="K8" s="1">
        <v>37.53593</v>
      </c>
      <c r="L8" s="1">
        <v>37.732582000000001</v>
      </c>
      <c r="M8" s="2">
        <f t="shared" si="1"/>
        <v>0.19665200000000027</v>
      </c>
      <c r="N8" s="6">
        <v>16809.919999999998</v>
      </c>
      <c r="O8" s="12"/>
      <c r="Q8" s="15"/>
      <c r="R8" s="3">
        <v>27</v>
      </c>
      <c r="S8" s="1">
        <v>37.53593</v>
      </c>
      <c r="T8" s="1">
        <v>37.811680000000003</v>
      </c>
      <c r="U8" s="2">
        <f t="shared" si="2"/>
        <v>0.27575000000000216</v>
      </c>
      <c r="V8" s="6">
        <v>16809.919999999998</v>
      </c>
      <c r="W8" s="12"/>
      <c r="Y8" s="15"/>
      <c r="Z8" s="3">
        <v>27</v>
      </c>
      <c r="AA8" s="1">
        <v>37.53593</v>
      </c>
      <c r="AB8" s="1">
        <v>37.835000000000001</v>
      </c>
      <c r="AC8" s="2">
        <f t="shared" si="3"/>
        <v>0.29907000000000039</v>
      </c>
      <c r="AD8" s="6">
        <v>16809.919999999998</v>
      </c>
      <c r="AE8" s="12"/>
    </row>
    <row r="9" spans="1:31" x14ac:dyDescent="0.25">
      <c r="A9" s="15"/>
      <c r="B9" s="3">
        <v>32</v>
      </c>
      <c r="C9" s="1">
        <v>35.270783999999999</v>
      </c>
      <c r="D9" s="1">
        <v>35.381656</v>
      </c>
      <c r="E9" s="2">
        <f t="shared" si="0"/>
        <v>0.11087200000000053</v>
      </c>
      <c r="F9" s="6">
        <v>8891.7646999999997</v>
      </c>
      <c r="G9" s="12"/>
      <c r="I9" s="15"/>
      <c r="J9" s="3">
        <v>32</v>
      </c>
      <c r="K9" s="1">
        <v>35.270783999999999</v>
      </c>
      <c r="L9" s="1">
        <v>35.459446999999997</v>
      </c>
      <c r="M9" s="2">
        <f t="shared" si="1"/>
        <v>0.18866299999999825</v>
      </c>
      <c r="N9" s="6">
        <v>8891.7646999999997</v>
      </c>
      <c r="O9" s="12"/>
      <c r="Q9" s="15"/>
      <c r="R9" s="3">
        <v>32</v>
      </c>
      <c r="S9" s="1">
        <v>35.270783999999999</v>
      </c>
      <c r="T9" s="1">
        <v>35.503042000000001</v>
      </c>
      <c r="U9" s="2">
        <f t="shared" si="2"/>
        <v>0.23225800000000163</v>
      </c>
      <c r="V9" s="6">
        <v>8891.7646999999997</v>
      </c>
      <c r="W9" s="12"/>
      <c r="Y9" s="15"/>
      <c r="Z9" s="3">
        <v>32</v>
      </c>
      <c r="AA9" s="1">
        <v>35.270783999999999</v>
      </c>
      <c r="AB9" s="1">
        <v>35.518946</v>
      </c>
      <c r="AC9" s="2">
        <f t="shared" si="3"/>
        <v>0.24816200000000066</v>
      </c>
      <c r="AD9" s="6">
        <v>8891.7646999999997</v>
      </c>
      <c r="AE9" s="12"/>
    </row>
    <row r="10" spans="1:31" x14ac:dyDescent="0.25">
      <c r="A10" s="16"/>
      <c r="B10" s="3">
        <v>37</v>
      </c>
      <c r="C10" s="1">
        <v>33.619092999999999</v>
      </c>
      <c r="D10" s="1">
        <v>33.794417000000003</v>
      </c>
      <c r="E10" s="2">
        <f t="shared" si="0"/>
        <v>0.17532400000000337</v>
      </c>
      <c r="F10" s="6">
        <v>5102.9552999999996</v>
      </c>
      <c r="G10" s="12"/>
      <c r="I10" s="16"/>
      <c r="J10" s="3">
        <v>37</v>
      </c>
      <c r="K10" s="1">
        <v>33.619092999999999</v>
      </c>
      <c r="L10" s="1">
        <v>33.821812999999999</v>
      </c>
      <c r="M10" s="2">
        <f t="shared" si="1"/>
        <v>0.20271999999999935</v>
      </c>
      <c r="N10" s="6">
        <v>5102.9552999999996</v>
      </c>
      <c r="O10" s="12"/>
      <c r="Q10" s="16"/>
      <c r="R10" s="3">
        <v>37</v>
      </c>
      <c r="S10" s="1">
        <v>33.619092999999999</v>
      </c>
      <c r="T10" s="1">
        <v>33.886245000000002</v>
      </c>
      <c r="U10" s="2">
        <f t="shared" si="2"/>
        <v>0.26715200000000294</v>
      </c>
      <c r="V10" s="6">
        <v>5102.9552999999996</v>
      </c>
      <c r="W10" s="12"/>
      <c r="Y10" s="16"/>
      <c r="Z10" s="3">
        <v>37</v>
      </c>
      <c r="AA10" s="1">
        <v>33.619092999999999</v>
      </c>
      <c r="AB10" s="1">
        <v>33.917385000000003</v>
      </c>
      <c r="AC10" s="2">
        <f t="shared" si="3"/>
        <v>0.29829200000000355</v>
      </c>
      <c r="AD10" s="6">
        <v>5102.9552999999996</v>
      </c>
      <c r="AE10" s="12"/>
    </row>
    <row r="11" spans="1:31" x14ac:dyDescent="0.25">
      <c r="A11" s="14" t="s">
        <v>6</v>
      </c>
      <c r="B11" s="3">
        <v>22</v>
      </c>
      <c r="C11" s="1">
        <v>38.925669999999997</v>
      </c>
      <c r="D11" s="1">
        <v>38.814754000000001</v>
      </c>
      <c r="E11" s="2">
        <f t="shared" si="0"/>
        <v>-0.11091599999999602</v>
      </c>
      <c r="F11" s="6">
        <v>25377.8259</v>
      </c>
      <c r="G11" s="12">
        <f>bdrate(F11:F14,C11:C14,F11:F14,D11:D14)</f>
        <v>-1.3860819696693949E-2</v>
      </c>
      <c r="I11" s="14" t="s">
        <v>6</v>
      </c>
      <c r="J11" s="3">
        <v>22</v>
      </c>
      <c r="K11" s="1">
        <v>38.925669999999997</v>
      </c>
      <c r="L11" s="1">
        <v>38.822968000000003</v>
      </c>
      <c r="M11" s="2">
        <f t="shared" si="1"/>
        <v>-0.10270199999999363</v>
      </c>
      <c r="N11" s="6">
        <v>25377.8259</v>
      </c>
      <c r="O11" s="12">
        <f t="shared" ref="O11:O63" si="4">bdrate(N11:N14,K11:K14,N11:N14,L11:L14)</f>
        <v>-3.444883485126804E-2</v>
      </c>
      <c r="Q11" s="23" t="s">
        <v>6</v>
      </c>
      <c r="R11" s="3">
        <v>22</v>
      </c>
      <c r="S11" s="1">
        <v>38.925669999999997</v>
      </c>
      <c r="T11" s="1">
        <v>38.762681999999998</v>
      </c>
      <c r="U11" s="2">
        <f t="shared" si="2"/>
        <v>-0.16298799999999858</v>
      </c>
      <c r="V11" s="6">
        <v>25377.8259</v>
      </c>
      <c r="W11" s="12">
        <f t="shared" ref="W11:W63" si="5">bdrate(V11:V14,S11:S14,V11:V14,T11:T14)</f>
        <v>-3.4255409998969033E-2</v>
      </c>
      <c r="Y11" s="14" t="s">
        <v>6</v>
      </c>
      <c r="Z11" s="3">
        <v>22</v>
      </c>
      <c r="AA11" s="1">
        <v>38.925669999999997</v>
      </c>
      <c r="AB11" s="1">
        <v>38.810689000000004</v>
      </c>
      <c r="AC11" s="2">
        <f t="shared" si="3"/>
        <v>-0.11498099999999312</v>
      </c>
      <c r="AD11" s="6">
        <v>25377.8259</v>
      </c>
      <c r="AE11" s="12">
        <f>bdrate(AD11:AD14,AA11:AA14,AD11:AD14,AB11:AB14)</f>
        <v>-5.2362384397376505E-2</v>
      </c>
    </row>
    <row r="12" spans="1:31" x14ac:dyDescent="0.25">
      <c r="A12" s="15"/>
      <c r="B12" s="3">
        <v>27</v>
      </c>
      <c r="C12" s="1">
        <v>35.782541999999999</v>
      </c>
      <c r="D12" s="1">
        <v>35.831586000000001</v>
      </c>
      <c r="E12" s="2">
        <f t="shared" si="0"/>
        <v>4.9044000000002086E-2</v>
      </c>
      <c r="F12" s="6">
        <v>5347.8888999999999</v>
      </c>
      <c r="G12" s="12"/>
      <c r="I12" s="15"/>
      <c r="J12" s="3">
        <v>27</v>
      </c>
      <c r="K12" s="1">
        <v>35.782541999999999</v>
      </c>
      <c r="L12" s="1">
        <v>35.840927999999998</v>
      </c>
      <c r="M12" s="2">
        <f t="shared" si="1"/>
        <v>5.8385999999998717E-2</v>
      </c>
      <c r="N12" s="6">
        <v>5347.8888999999999</v>
      </c>
      <c r="O12" s="12"/>
      <c r="Q12" s="21"/>
      <c r="R12" s="3">
        <v>27</v>
      </c>
      <c r="S12" s="1">
        <v>35.782541999999999</v>
      </c>
      <c r="T12" s="1">
        <v>35.837333000000001</v>
      </c>
      <c r="U12" s="2">
        <f t="shared" si="2"/>
        <v>5.4791000000001588E-2</v>
      </c>
      <c r="V12" s="6">
        <v>5347.8888999999999</v>
      </c>
      <c r="W12" s="12"/>
      <c r="Y12" s="15"/>
      <c r="Z12" s="3">
        <v>27</v>
      </c>
      <c r="AA12" s="1">
        <v>35.782541999999999</v>
      </c>
      <c r="AB12" s="1">
        <v>35.868141000000001</v>
      </c>
      <c r="AC12" s="2">
        <f t="shared" si="3"/>
        <v>8.5599000000001979E-2</v>
      </c>
      <c r="AD12" s="6">
        <v>5347.8888999999999</v>
      </c>
      <c r="AE12" s="12"/>
    </row>
    <row r="13" spans="1:31" x14ac:dyDescent="0.25">
      <c r="A13" s="15"/>
      <c r="B13" s="3">
        <v>32</v>
      </c>
      <c r="C13" s="1">
        <v>34.444141000000002</v>
      </c>
      <c r="D13" s="1">
        <v>34.447679000000001</v>
      </c>
      <c r="E13" s="2">
        <f>D13-C13</f>
        <v>3.5379999999989309E-3</v>
      </c>
      <c r="F13" s="6">
        <v>1511.2094</v>
      </c>
      <c r="G13" s="12"/>
      <c r="I13" s="15"/>
      <c r="J13" s="3">
        <v>32</v>
      </c>
      <c r="K13" s="1">
        <v>34.444141000000002</v>
      </c>
      <c r="L13" s="1">
        <v>34.538528999999997</v>
      </c>
      <c r="M13" s="2">
        <f t="shared" si="1"/>
        <v>9.4387999999995031E-2</v>
      </c>
      <c r="N13" s="6">
        <v>1511.2094</v>
      </c>
      <c r="O13" s="12"/>
      <c r="Q13" s="21"/>
      <c r="R13" s="3">
        <v>32</v>
      </c>
      <c r="S13" s="1">
        <v>34.444141000000002</v>
      </c>
      <c r="T13" s="1">
        <v>34.547390999999998</v>
      </c>
      <c r="U13" s="2">
        <f t="shared" si="2"/>
        <v>0.10324999999999562</v>
      </c>
      <c r="V13" s="6">
        <v>1511.2094</v>
      </c>
      <c r="W13" s="12"/>
      <c r="Y13" s="15"/>
      <c r="Z13" s="3">
        <v>32</v>
      </c>
      <c r="AA13" s="1">
        <v>34.444141000000002</v>
      </c>
      <c r="AB13" s="1">
        <v>34.569046999999998</v>
      </c>
      <c r="AC13" s="2">
        <f t="shared" si="3"/>
        <v>0.12490599999999574</v>
      </c>
      <c r="AD13" s="6">
        <v>1511.2094</v>
      </c>
      <c r="AE13" s="12"/>
    </row>
    <row r="14" spans="1:31" x14ac:dyDescent="0.25">
      <c r="A14" s="16"/>
      <c r="B14" s="3">
        <v>37</v>
      </c>
      <c r="C14" s="1">
        <v>33.304972999999997</v>
      </c>
      <c r="D14" s="1">
        <v>33.308152999999997</v>
      </c>
      <c r="E14" s="2">
        <f t="shared" si="0"/>
        <v>3.1800000000004047E-3</v>
      </c>
      <c r="F14" s="6">
        <v>576.7944</v>
      </c>
      <c r="G14" s="12"/>
      <c r="I14" s="16"/>
      <c r="J14" s="3">
        <v>37</v>
      </c>
      <c r="K14" s="1">
        <v>33.304972999999997</v>
      </c>
      <c r="L14" s="1">
        <v>33.369722000000003</v>
      </c>
      <c r="M14" s="2">
        <f t="shared" si="1"/>
        <v>6.4749000000006163E-2</v>
      </c>
      <c r="N14" s="6">
        <v>576.7944</v>
      </c>
      <c r="O14" s="12"/>
      <c r="Q14" s="22"/>
      <c r="R14" s="3">
        <v>37</v>
      </c>
      <c r="S14" s="1">
        <v>33.304972999999997</v>
      </c>
      <c r="T14" s="1">
        <v>33.437638</v>
      </c>
      <c r="U14" s="2">
        <f t="shared" si="2"/>
        <v>0.13266500000000292</v>
      </c>
      <c r="V14" s="6">
        <v>576.7944</v>
      </c>
      <c r="W14" s="12"/>
      <c r="Y14" s="16"/>
      <c r="Z14" s="3">
        <v>37</v>
      </c>
      <c r="AA14" s="1">
        <v>33.304972999999997</v>
      </c>
      <c r="AB14" s="1">
        <v>33.433255000000003</v>
      </c>
      <c r="AC14" s="2">
        <f t="shared" si="3"/>
        <v>0.12828200000000578</v>
      </c>
      <c r="AD14" s="6">
        <v>576.7944</v>
      </c>
      <c r="AE14" s="12"/>
    </row>
    <row r="15" spans="1:31" x14ac:dyDescent="0.25">
      <c r="A15" s="14" t="s">
        <v>20</v>
      </c>
      <c r="B15" s="3">
        <v>22</v>
      </c>
      <c r="C15" s="1">
        <v>41.541648000000002</v>
      </c>
      <c r="D15" s="1">
        <v>41.525508000000002</v>
      </c>
      <c r="E15" s="2">
        <f t="shared" si="0"/>
        <v>-1.6140000000000043E-2</v>
      </c>
      <c r="F15" s="6">
        <v>5348.4888000000001</v>
      </c>
      <c r="G15" s="12">
        <f>bdrate(F15:F18,C15:C18,F15:F18,D15:D18)</f>
        <v>-2.330750722844277E-3</v>
      </c>
      <c r="I15" s="14" t="s">
        <v>20</v>
      </c>
      <c r="J15" s="3">
        <v>22</v>
      </c>
      <c r="K15" s="1">
        <v>41.541648000000002</v>
      </c>
      <c r="L15" s="1">
        <v>41.523510000000002</v>
      </c>
      <c r="M15" s="2">
        <f t="shared" si="1"/>
        <v>-1.8138000000000432E-2</v>
      </c>
      <c r="N15" s="6">
        <v>5348.4888000000001</v>
      </c>
      <c r="O15" s="12">
        <f t="shared" ref="O15" si="6">bdrate(N15:N18,K15:K18,N15:N18,L15:L18)</f>
        <v>-2.5779254332836454E-2</v>
      </c>
      <c r="Q15" s="14" t="s">
        <v>20</v>
      </c>
      <c r="R15" s="3">
        <v>22</v>
      </c>
      <c r="S15" s="1">
        <v>41.541648000000002</v>
      </c>
      <c r="T15" s="1">
        <v>41.526834999999998</v>
      </c>
      <c r="U15" s="2">
        <f t="shared" si="2"/>
        <v>-1.481300000000374E-2</v>
      </c>
      <c r="V15" s="6">
        <v>5348.4888000000001</v>
      </c>
      <c r="W15" s="12">
        <f t="shared" ref="W15" si="7">bdrate(V15:V18,S15:S18,V15:V18,T15:T18)</f>
        <v>-3.335511450718931E-2</v>
      </c>
      <c r="Y15" s="14" t="s">
        <v>20</v>
      </c>
      <c r="Z15" s="3">
        <v>22</v>
      </c>
      <c r="AA15" s="1">
        <v>41.541648000000002</v>
      </c>
      <c r="AB15" s="1">
        <v>41.548811000000001</v>
      </c>
      <c r="AC15" s="2">
        <f t="shared" si="3"/>
        <v>7.1629999999984761E-3</v>
      </c>
      <c r="AD15" s="6">
        <v>5348.4888000000001</v>
      </c>
      <c r="AE15" s="12">
        <f>bdrate(AD15:AD18,AA15:AA18,AD15:AD18,AB15:AB18)</f>
        <v>-3.6905687813328814E-2</v>
      </c>
    </row>
    <row r="16" spans="1:31" x14ac:dyDescent="0.25">
      <c r="A16" s="15"/>
      <c r="B16" s="3">
        <v>27</v>
      </c>
      <c r="C16" s="1">
        <v>39.473677000000002</v>
      </c>
      <c r="D16" s="1">
        <v>39.429149000000002</v>
      </c>
      <c r="E16" s="2">
        <f t="shared" si="0"/>
        <v>-4.4527999999999679E-2</v>
      </c>
      <c r="F16" s="6">
        <v>2314.9951999999998</v>
      </c>
      <c r="G16" s="12"/>
      <c r="I16" s="15"/>
      <c r="J16" s="3">
        <v>27</v>
      </c>
      <c r="K16" s="1">
        <v>39.473677000000002</v>
      </c>
      <c r="L16" s="1">
        <v>39.521301000000001</v>
      </c>
      <c r="M16" s="2">
        <f t="shared" si="1"/>
        <v>4.7623999999999E-2</v>
      </c>
      <c r="N16" s="6">
        <v>2314.9951999999998</v>
      </c>
      <c r="O16" s="12"/>
      <c r="Q16" s="15"/>
      <c r="R16" s="3">
        <v>27</v>
      </c>
      <c r="S16" s="1">
        <v>39.473677000000002</v>
      </c>
      <c r="T16" s="1">
        <v>39.544995999999998</v>
      </c>
      <c r="U16" s="2">
        <f t="shared" si="2"/>
        <v>7.1318999999995469E-2</v>
      </c>
      <c r="V16" s="6">
        <v>2314.9951999999998</v>
      </c>
      <c r="W16" s="12"/>
      <c r="Y16" s="15"/>
      <c r="Z16" s="3">
        <v>27</v>
      </c>
      <c r="AA16" s="1">
        <v>39.473677000000002</v>
      </c>
      <c r="AB16" s="1">
        <v>39.581744</v>
      </c>
      <c r="AC16" s="2">
        <f t="shared" si="3"/>
        <v>0.10806699999999836</v>
      </c>
      <c r="AD16" s="6">
        <v>2314.9951999999998</v>
      </c>
      <c r="AE16" s="12"/>
    </row>
    <row r="17" spans="1:31" x14ac:dyDescent="0.25">
      <c r="A17" s="15"/>
      <c r="B17" s="3">
        <v>32</v>
      </c>
      <c r="C17" s="1">
        <v>37.189129000000001</v>
      </c>
      <c r="D17" s="1">
        <v>37.217508000000002</v>
      </c>
      <c r="E17" s="2">
        <f t="shared" si="0"/>
        <v>2.8379000000001042E-2</v>
      </c>
      <c r="F17" s="6">
        <v>1151.3224</v>
      </c>
      <c r="G17" s="12"/>
      <c r="I17" s="15"/>
      <c r="J17" s="3">
        <v>32</v>
      </c>
      <c r="K17" s="1">
        <v>37.189129000000001</v>
      </c>
      <c r="L17" s="1">
        <v>37.306736000000001</v>
      </c>
      <c r="M17" s="2">
        <f t="shared" si="1"/>
        <v>0.11760699999999957</v>
      </c>
      <c r="N17" s="6">
        <v>1151.3224</v>
      </c>
      <c r="O17" s="12"/>
      <c r="Q17" s="15"/>
      <c r="R17" s="3">
        <v>32</v>
      </c>
      <c r="S17" s="1">
        <v>37.189129000000001</v>
      </c>
      <c r="T17" s="1">
        <v>37.337376999999996</v>
      </c>
      <c r="U17" s="2">
        <f t="shared" si="2"/>
        <v>0.14824799999999527</v>
      </c>
      <c r="V17" s="6">
        <v>1151.3224</v>
      </c>
      <c r="W17" s="12"/>
      <c r="Y17" s="15"/>
      <c r="Z17" s="3">
        <v>32</v>
      </c>
      <c r="AA17" s="1">
        <v>37.189129000000001</v>
      </c>
      <c r="AB17" s="1">
        <v>37.308225999999998</v>
      </c>
      <c r="AC17" s="2">
        <f t="shared" si="3"/>
        <v>0.11909699999999646</v>
      </c>
      <c r="AD17" s="6">
        <v>1151.3224</v>
      </c>
      <c r="AE17" s="12"/>
    </row>
    <row r="18" spans="1:31" x14ac:dyDescent="0.25">
      <c r="A18" s="16"/>
      <c r="B18" s="3">
        <v>37</v>
      </c>
      <c r="C18" s="1">
        <v>35.138016999999998</v>
      </c>
      <c r="D18" s="1">
        <v>35.293272000000002</v>
      </c>
      <c r="E18" s="2">
        <f t="shared" si="0"/>
        <v>0.15525500000000392</v>
      </c>
      <c r="F18" s="6">
        <v>582.5752</v>
      </c>
      <c r="G18" s="12"/>
      <c r="I18" s="16"/>
      <c r="J18" s="3">
        <v>37</v>
      </c>
      <c r="K18" s="1">
        <v>35.138016999999998</v>
      </c>
      <c r="L18" s="1">
        <v>35.305658000000001</v>
      </c>
      <c r="M18" s="2">
        <f t="shared" si="1"/>
        <v>0.16764100000000326</v>
      </c>
      <c r="N18" s="6">
        <v>582.5752</v>
      </c>
      <c r="O18" s="12"/>
      <c r="Q18" s="16"/>
      <c r="R18" s="3">
        <v>37</v>
      </c>
      <c r="S18" s="1">
        <v>35.138016999999998</v>
      </c>
      <c r="T18" s="1">
        <v>35.323348000000003</v>
      </c>
      <c r="U18" s="2">
        <f t="shared" si="2"/>
        <v>0.18533100000000502</v>
      </c>
      <c r="V18" s="6">
        <v>582.5752</v>
      </c>
      <c r="W18" s="12"/>
      <c r="Y18" s="16"/>
      <c r="Z18" s="3">
        <v>37</v>
      </c>
      <c r="AA18" s="1">
        <v>35.138016999999998</v>
      </c>
      <c r="AB18" s="1">
        <v>35.353470999999999</v>
      </c>
      <c r="AC18" s="2">
        <f t="shared" si="3"/>
        <v>0.21545400000000114</v>
      </c>
      <c r="AD18" s="6">
        <v>582.5752</v>
      </c>
      <c r="AE18" s="12"/>
    </row>
    <row r="19" spans="1:31" x14ac:dyDescent="0.25">
      <c r="A19" s="14" t="s">
        <v>21</v>
      </c>
      <c r="B19" s="3">
        <v>22</v>
      </c>
      <c r="C19" s="1">
        <v>39.839488000000003</v>
      </c>
      <c r="D19" s="1">
        <v>39.802422</v>
      </c>
      <c r="E19" s="2">
        <f t="shared" si="0"/>
        <v>-3.706600000000293E-2</v>
      </c>
      <c r="F19" s="6">
        <v>8412.8024000000005</v>
      </c>
      <c r="G19" s="12">
        <f t="shared" ref="G19" si="8">bdrate(F19:F22,C19:C22,F19:F22,D19:D22)</f>
        <v>-2.0341709367379113E-2</v>
      </c>
      <c r="I19" s="14" t="s">
        <v>21</v>
      </c>
      <c r="J19" s="3">
        <v>22</v>
      </c>
      <c r="K19" s="1">
        <v>39.839488000000003</v>
      </c>
      <c r="L19" s="1">
        <v>39.817838999999999</v>
      </c>
      <c r="M19" s="2">
        <f t="shared" si="1"/>
        <v>-2.1649000000003582E-2</v>
      </c>
      <c r="N19" s="6">
        <v>8412.8024000000005</v>
      </c>
      <c r="O19" s="12">
        <f t="shared" ref="O19" si="9">bdrate(N19:N22,K19:K22,N19:N22,L19:L22)</f>
        <v>-2.6115594931422126E-2</v>
      </c>
      <c r="Q19" s="14" t="s">
        <v>21</v>
      </c>
      <c r="R19" s="3">
        <v>22</v>
      </c>
      <c r="S19" s="1">
        <v>39.839488000000003</v>
      </c>
      <c r="T19" s="1">
        <v>39.832408000000001</v>
      </c>
      <c r="U19" s="2">
        <f t="shared" si="2"/>
        <v>-7.0800000000019736E-3</v>
      </c>
      <c r="V19" s="6">
        <v>8412.8024000000005</v>
      </c>
      <c r="W19" s="12">
        <f t="shared" ref="W19" si="10">bdrate(V19:V22,S19:S22,V19:V22,T19:T22)</f>
        <v>-3.1784220910311967E-2</v>
      </c>
      <c r="Y19" s="14" t="s">
        <v>21</v>
      </c>
      <c r="Z19" s="3">
        <v>22</v>
      </c>
      <c r="AA19" s="1">
        <v>39.839488000000003</v>
      </c>
      <c r="AB19" s="1">
        <v>39.846836000000003</v>
      </c>
      <c r="AC19" s="2">
        <f t="shared" si="3"/>
        <v>7.3480000000003542E-3</v>
      </c>
      <c r="AD19" s="6">
        <v>8412.8024000000005</v>
      </c>
      <c r="AE19" s="12">
        <f>bdrate(AD19:AD22,AA19:AA22,AD19:AD22,AB19:AB22)</f>
        <v>-3.6913696413123143E-2</v>
      </c>
    </row>
    <row r="20" spans="1:31" x14ac:dyDescent="0.25">
      <c r="A20" s="15"/>
      <c r="B20" s="3">
        <v>27</v>
      </c>
      <c r="C20" s="1">
        <v>37.139826999999997</v>
      </c>
      <c r="D20" s="1">
        <v>37.184148</v>
      </c>
      <c r="E20" s="2">
        <f t="shared" si="0"/>
        <v>4.4321000000003608E-2</v>
      </c>
      <c r="F20" s="6">
        <v>3178.1583999999998</v>
      </c>
      <c r="G20" s="12"/>
      <c r="I20" s="15"/>
      <c r="J20" s="3">
        <v>27</v>
      </c>
      <c r="K20" s="1">
        <v>37.139826999999997</v>
      </c>
      <c r="L20" s="1">
        <v>37.185225000000003</v>
      </c>
      <c r="M20" s="2">
        <f t="shared" si="1"/>
        <v>4.5398000000005823E-2</v>
      </c>
      <c r="N20" s="6">
        <v>3178.1583999999998</v>
      </c>
      <c r="O20" s="12"/>
      <c r="Q20" s="15"/>
      <c r="R20" s="3">
        <v>27</v>
      </c>
      <c r="S20" s="1">
        <v>37.139826999999997</v>
      </c>
      <c r="T20" s="1">
        <v>37.208630999999997</v>
      </c>
      <c r="U20" s="2">
        <f t="shared" si="2"/>
        <v>6.8804000000000087E-2</v>
      </c>
      <c r="V20" s="6">
        <v>3178.1583999999998</v>
      </c>
      <c r="W20" s="12"/>
      <c r="Y20" s="15"/>
      <c r="Z20" s="3">
        <v>27</v>
      </c>
      <c r="AA20" s="1">
        <v>37.139826999999997</v>
      </c>
      <c r="AB20" s="1">
        <v>37.224708999999997</v>
      </c>
      <c r="AC20" s="2">
        <f t="shared" si="3"/>
        <v>8.4882000000000346E-2</v>
      </c>
      <c r="AD20" s="6">
        <v>3178.1583999999998</v>
      </c>
      <c r="AE20" s="12"/>
    </row>
    <row r="21" spans="1:31" x14ac:dyDescent="0.25">
      <c r="A21" s="15"/>
      <c r="B21" s="3">
        <v>32</v>
      </c>
      <c r="C21" s="1">
        <v>34.999021999999997</v>
      </c>
      <c r="D21" s="1">
        <v>35.062955000000002</v>
      </c>
      <c r="E21" s="2">
        <f t="shared" si="0"/>
        <v>6.3933000000005791E-2</v>
      </c>
      <c r="F21" s="6">
        <v>1357.9992</v>
      </c>
      <c r="G21" s="12"/>
      <c r="I21" s="15"/>
      <c r="J21" s="3">
        <v>32</v>
      </c>
      <c r="K21" s="1">
        <v>34.999021999999997</v>
      </c>
      <c r="L21" s="1">
        <v>35.097845999999997</v>
      </c>
      <c r="M21" s="2">
        <f t="shared" si="1"/>
        <v>9.8824000000000467E-2</v>
      </c>
      <c r="N21" s="6">
        <v>1357.9992</v>
      </c>
      <c r="O21" s="12"/>
      <c r="Q21" s="15"/>
      <c r="R21" s="3">
        <v>32</v>
      </c>
      <c r="S21" s="1">
        <v>34.999021999999997</v>
      </c>
      <c r="T21" s="1">
        <v>35.099888999999997</v>
      </c>
      <c r="U21" s="2">
        <f t="shared" si="2"/>
        <v>0.10086700000000093</v>
      </c>
      <c r="V21" s="6">
        <v>1357.9992</v>
      </c>
      <c r="W21" s="12"/>
      <c r="Y21" s="15"/>
      <c r="Z21" s="3">
        <v>32</v>
      </c>
      <c r="AA21" s="1">
        <v>34.999021999999997</v>
      </c>
      <c r="AB21" s="1">
        <v>35.125577</v>
      </c>
      <c r="AC21" s="2">
        <f t="shared" si="3"/>
        <v>0.1265550000000033</v>
      </c>
      <c r="AD21" s="6">
        <v>1357.9992</v>
      </c>
      <c r="AE21" s="12"/>
    </row>
    <row r="22" spans="1:31" x14ac:dyDescent="0.25">
      <c r="A22" s="16"/>
      <c r="B22" s="3">
        <v>37</v>
      </c>
      <c r="C22" s="1">
        <v>33.391950999999999</v>
      </c>
      <c r="D22" s="1">
        <v>33.523311999999997</v>
      </c>
      <c r="E22" s="2">
        <f t="shared" si="0"/>
        <v>0.13136099999999828</v>
      </c>
      <c r="F22" s="6">
        <v>594.37840000000006</v>
      </c>
      <c r="G22" s="12"/>
      <c r="I22" s="16"/>
      <c r="J22" s="3">
        <v>37</v>
      </c>
      <c r="K22" s="1">
        <v>33.391950999999999</v>
      </c>
      <c r="L22" s="1">
        <v>33.52646</v>
      </c>
      <c r="M22" s="2">
        <f t="shared" si="1"/>
        <v>0.13450900000000132</v>
      </c>
      <c r="N22" s="6">
        <v>594.37840000000006</v>
      </c>
      <c r="O22" s="12"/>
      <c r="Q22" s="16"/>
      <c r="R22" s="3">
        <v>37</v>
      </c>
      <c r="S22" s="1">
        <v>33.391950999999999</v>
      </c>
      <c r="T22" s="1">
        <v>33.542475000000003</v>
      </c>
      <c r="U22" s="2">
        <f t="shared" si="2"/>
        <v>0.15052400000000432</v>
      </c>
      <c r="V22" s="6">
        <v>594.37840000000006</v>
      </c>
      <c r="W22" s="12"/>
      <c r="Y22" s="16"/>
      <c r="Z22" s="3">
        <v>37</v>
      </c>
      <c r="AA22" s="1">
        <v>33.391950999999999</v>
      </c>
      <c r="AB22" s="1">
        <v>33.503281999999999</v>
      </c>
      <c r="AC22" s="2">
        <f t="shared" si="3"/>
        <v>0.11133099999999985</v>
      </c>
      <c r="AD22" s="6">
        <v>594.37840000000006</v>
      </c>
      <c r="AE22" s="12"/>
    </row>
    <row r="23" spans="1:31" x14ac:dyDescent="0.25">
      <c r="A23" s="14" t="s">
        <v>22</v>
      </c>
      <c r="B23" s="3">
        <v>22</v>
      </c>
      <c r="C23" s="1">
        <v>38.531269000000002</v>
      </c>
      <c r="D23" s="1">
        <v>38.553308000000001</v>
      </c>
      <c r="E23" s="2">
        <f t="shared" si="0"/>
        <v>2.2038999999999476E-2</v>
      </c>
      <c r="F23" s="6">
        <v>26326.313699999999</v>
      </c>
      <c r="G23" s="12">
        <f t="shared" ref="G23" si="11">bdrate(F23:F26,C23:C26,F23:F26,D23:D26)</f>
        <v>-2.6062254983958311E-2</v>
      </c>
      <c r="I23" s="14" t="s">
        <v>22</v>
      </c>
      <c r="J23" s="3">
        <v>22</v>
      </c>
      <c r="K23" s="1">
        <v>38.531269000000002</v>
      </c>
      <c r="L23" s="1">
        <v>38.549002999999999</v>
      </c>
      <c r="M23" s="2">
        <f t="shared" si="1"/>
        <v>1.7733999999997252E-2</v>
      </c>
      <c r="N23" s="6">
        <v>26326.313699999999</v>
      </c>
      <c r="O23" s="12">
        <f t="shared" ref="O23" si="12">bdrate(N23:N26,K23:K26,N23:N26,L23:L26)</f>
        <v>-3.3687702217834792E-2</v>
      </c>
      <c r="Q23" s="14" t="s">
        <v>22</v>
      </c>
      <c r="R23" s="3">
        <v>22</v>
      </c>
      <c r="S23" s="1">
        <v>38.531269000000002</v>
      </c>
      <c r="T23" s="1">
        <v>38.544983999999999</v>
      </c>
      <c r="U23" s="2">
        <f t="shared" si="2"/>
        <v>1.3714999999997701E-2</v>
      </c>
      <c r="V23" s="6">
        <v>26326.313699999999</v>
      </c>
      <c r="W23" s="12">
        <f t="shared" ref="W23" si="13">bdrate(V23:V26,S23:S26,V23:V26,T23:T26)</f>
        <v>-4.9624580559627818E-2</v>
      </c>
      <c r="Y23" s="14" t="s">
        <v>22</v>
      </c>
      <c r="Z23" s="3">
        <v>22</v>
      </c>
      <c r="AA23" s="1">
        <v>38.531269000000002</v>
      </c>
      <c r="AB23" s="1">
        <v>38.575121000000003</v>
      </c>
      <c r="AC23" s="2">
        <f t="shared" si="3"/>
        <v>4.3852000000001112E-2</v>
      </c>
      <c r="AD23" s="6">
        <v>26326.313699999999</v>
      </c>
      <c r="AE23" s="12">
        <f>bdrate(AD23:AD26,AA23:AA26,AD23:AD26,AB23:AB26)</f>
        <v>-6.6523654448485958E-2</v>
      </c>
    </row>
    <row r="24" spans="1:31" x14ac:dyDescent="0.25">
      <c r="A24" s="15"/>
      <c r="B24" s="3">
        <v>27</v>
      </c>
      <c r="C24" s="1">
        <v>36.643881</v>
      </c>
      <c r="D24" s="1">
        <v>36.708896000000003</v>
      </c>
      <c r="E24" s="2">
        <f t="shared" si="0"/>
        <v>6.5015000000002487E-2</v>
      </c>
      <c r="F24" s="6">
        <v>6924.0156999999999</v>
      </c>
      <c r="G24" s="12"/>
      <c r="I24" s="15"/>
      <c r="J24" s="3">
        <v>27</v>
      </c>
      <c r="K24" s="1">
        <v>36.643881</v>
      </c>
      <c r="L24" s="1">
        <v>36.696883</v>
      </c>
      <c r="M24" s="2">
        <f t="shared" si="1"/>
        <v>5.3001999999999327E-2</v>
      </c>
      <c r="N24" s="6">
        <v>6924.0156999999999</v>
      </c>
      <c r="O24" s="12"/>
      <c r="Q24" s="15"/>
      <c r="R24" s="3">
        <v>27</v>
      </c>
      <c r="S24" s="1">
        <v>36.643881</v>
      </c>
      <c r="T24" s="1">
        <v>36.729796</v>
      </c>
      <c r="U24" s="2">
        <f t="shared" si="2"/>
        <v>8.5914999999999964E-2</v>
      </c>
      <c r="V24" s="6">
        <v>6924.0156999999999</v>
      </c>
      <c r="W24" s="12"/>
      <c r="Y24" s="15"/>
      <c r="Z24" s="3">
        <v>27</v>
      </c>
      <c r="AA24" s="1">
        <v>36.643881</v>
      </c>
      <c r="AB24" s="1">
        <v>36.754908</v>
      </c>
      <c r="AC24" s="2">
        <f t="shared" si="3"/>
        <v>0.11102699999999999</v>
      </c>
      <c r="AD24" s="6">
        <v>6924.0156999999999</v>
      </c>
      <c r="AE24" s="12"/>
    </row>
    <row r="25" spans="1:31" x14ac:dyDescent="0.25">
      <c r="A25" s="15"/>
      <c r="B25" s="3">
        <v>32</v>
      </c>
      <c r="C25" s="1">
        <v>35.128048999999997</v>
      </c>
      <c r="D25" s="1">
        <v>35.144343999999997</v>
      </c>
      <c r="E25" s="2">
        <f t="shared" si="0"/>
        <v>1.6294999999999504E-2</v>
      </c>
      <c r="F25" s="6">
        <v>3174.8863000000001</v>
      </c>
      <c r="G25" s="12"/>
      <c r="I25" s="15"/>
      <c r="J25" s="3">
        <v>32</v>
      </c>
      <c r="K25" s="1">
        <v>35.128048999999997</v>
      </c>
      <c r="L25" s="1">
        <v>35.208306</v>
      </c>
      <c r="M25" s="2">
        <f t="shared" si="1"/>
        <v>8.0257000000003131E-2</v>
      </c>
      <c r="N25" s="6">
        <v>3174.8863000000001</v>
      </c>
      <c r="O25" s="12"/>
      <c r="Q25" s="15"/>
      <c r="R25" s="3">
        <v>32</v>
      </c>
      <c r="S25" s="1">
        <v>35.128048999999997</v>
      </c>
      <c r="T25" s="1">
        <v>35.247017</v>
      </c>
      <c r="U25" s="2">
        <f t="shared" si="2"/>
        <v>0.11896800000000241</v>
      </c>
      <c r="V25" s="6">
        <v>3174.8863000000001</v>
      </c>
      <c r="W25" s="12"/>
      <c r="Y25" s="15"/>
      <c r="Z25" s="3">
        <v>32</v>
      </c>
      <c r="AA25" s="1">
        <v>35.128048999999997</v>
      </c>
      <c r="AB25" s="1">
        <v>35.287384000000003</v>
      </c>
      <c r="AC25" s="2">
        <f t="shared" si="3"/>
        <v>0.15933500000000578</v>
      </c>
      <c r="AD25" s="6">
        <v>3174.8863000000001</v>
      </c>
      <c r="AE25" s="12"/>
    </row>
    <row r="26" spans="1:31" x14ac:dyDescent="0.25">
      <c r="A26" s="16"/>
      <c r="B26" s="3">
        <v>37</v>
      </c>
      <c r="C26" s="1">
        <v>33.749006999999999</v>
      </c>
      <c r="D26" s="1">
        <v>33.836886999999997</v>
      </c>
      <c r="E26" s="2">
        <f t="shared" si="0"/>
        <v>8.7879999999998404E-2</v>
      </c>
      <c r="F26" s="6">
        <v>1584.3136999999999</v>
      </c>
      <c r="G26" s="12"/>
      <c r="I26" s="16"/>
      <c r="J26" s="3">
        <v>37</v>
      </c>
      <c r="K26" s="1">
        <v>33.749006999999999</v>
      </c>
      <c r="L26" s="1">
        <v>33.858179</v>
      </c>
      <c r="M26" s="2">
        <f t="shared" si="1"/>
        <v>0.10917200000000093</v>
      </c>
      <c r="N26" s="6">
        <v>1584.3136999999999</v>
      </c>
      <c r="O26" s="12"/>
      <c r="Q26" s="16"/>
      <c r="R26" s="3">
        <v>37</v>
      </c>
      <c r="S26" s="1">
        <v>33.749006999999999</v>
      </c>
      <c r="T26" s="1">
        <v>33.903449000000002</v>
      </c>
      <c r="U26" s="2">
        <f t="shared" si="2"/>
        <v>0.15444200000000308</v>
      </c>
      <c r="V26" s="6">
        <v>1584.3136999999999</v>
      </c>
      <c r="W26" s="12"/>
      <c r="Y26" s="16"/>
      <c r="Z26" s="3">
        <v>37</v>
      </c>
      <c r="AA26" s="1">
        <v>33.749006999999999</v>
      </c>
      <c r="AB26" s="1">
        <v>33.923983999999997</v>
      </c>
      <c r="AC26" s="2">
        <f t="shared" si="3"/>
        <v>0.17497699999999838</v>
      </c>
      <c r="AD26" s="6">
        <v>1584.3136999999999</v>
      </c>
      <c r="AE26" s="12"/>
    </row>
    <row r="27" spans="1:31" x14ac:dyDescent="0.25">
      <c r="A27" s="14" t="s">
        <v>23</v>
      </c>
      <c r="B27" s="3">
        <v>22</v>
      </c>
      <c r="C27" s="1">
        <v>39.748967999999998</v>
      </c>
      <c r="D27" s="1">
        <v>39.664122999999996</v>
      </c>
      <c r="E27" s="2">
        <f t="shared" si="0"/>
        <v>-8.4845000000001392E-2</v>
      </c>
      <c r="F27" s="6">
        <v>16529.466700000001</v>
      </c>
      <c r="G27" s="12">
        <f t="shared" ref="G27" si="14">bdrate(F27:F30,C27:C30,F27:F30,D27:D30)</f>
        <v>-3.4912254581535018E-3</v>
      </c>
      <c r="I27" s="14" t="s">
        <v>23</v>
      </c>
      <c r="J27" s="3">
        <v>22</v>
      </c>
      <c r="K27" s="1">
        <v>39.748967999999998</v>
      </c>
      <c r="L27" s="1">
        <v>39.673268999999998</v>
      </c>
      <c r="M27" s="2">
        <f t="shared" si="1"/>
        <v>-7.5699000000000183E-2</v>
      </c>
      <c r="N27" s="6">
        <v>16529.466700000001</v>
      </c>
      <c r="O27" s="12">
        <f t="shared" ref="O27" si="15">bdrate(N27:N30,K27:K30,N27:N30,L27:L30)</f>
        <v>-9.0721005315518299E-3</v>
      </c>
      <c r="Q27" s="14" t="s">
        <v>23</v>
      </c>
      <c r="R27" s="3">
        <v>22</v>
      </c>
      <c r="S27" s="1">
        <v>39.748967999999998</v>
      </c>
      <c r="T27" s="1">
        <v>39.700105999999998</v>
      </c>
      <c r="U27" s="2">
        <f t="shared" si="2"/>
        <v>-4.8861999999999739E-2</v>
      </c>
      <c r="V27" s="6">
        <v>16529.466700000001</v>
      </c>
      <c r="W27" s="12">
        <f t="shared" ref="W27" si="16">bdrate(V27:V30,S27:S30,V27:V30,T27:T30)</f>
        <v>-3.0939003728655545E-2</v>
      </c>
      <c r="Y27" s="14" t="s">
        <v>23</v>
      </c>
      <c r="Z27" s="3">
        <v>22</v>
      </c>
      <c r="AA27" s="1">
        <v>39.748967999999998</v>
      </c>
      <c r="AB27" s="1">
        <v>39.703622000000003</v>
      </c>
      <c r="AC27" s="2">
        <f t="shared" si="3"/>
        <v>-4.5345999999995001E-2</v>
      </c>
      <c r="AD27" s="6">
        <v>16529.466700000001</v>
      </c>
      <c r="AE27" s="12">
        <f>bdrate(AD27:AD30,AA27:AA30,AD27:AD30,AB27:AB30)</f>
        <v>-4.0659938394242312E-2</v>
      </c>
    </row>
    <row r="28" spans="1:31" x14ac:dyDescent="0.25">
      <c r="A28" s="15"/>
      <c r="B28" s="3">
        <v>27</v>
      </c>
      <c r="C28" s="1">
        <v>38.236037000000003</v>
      </c>
      <c r="D28" s="1">
        <v>38.261679999999998</v>
      </c>
      <c r="E28" s="2">
        <f t="shared" si="0"/>
        <v>2.5642999999995197E-2</v>
      </c>
      <c r="F28" s="6">
        <v>5688.9647000000004</v>
      </c>
      <c r="G28" s="12"/>
      <c r="I28" s="15"/>
      <c r="J28" s="3">
        <v>27</v>
      </c>
      <c r="K28" s="1">
        <v>38.236037000000003</v>
      </c>
      <c r="L28" s="1">
        <v>38.239182</v>
      </c>
      <c r="M28" s="2">
        <f t="shared" si="1"/>
        <v>3.1449999999964007E-3</v>
      </c>
      <c r="N28" s="6">
        <v>5688.9647000000004</v>
      </c>
      <c r="O28" s="12"/>
      <c r="Q28" s="15"/>
      <c r="R28" s="3">
        <v>27</v>
      </c>
      <c r="S28" s="1">
        <v>38.236037000000003</v>
      </c>
      <c r="T28" s="1">
        <v>38.277889000000002</v>
      </c>
      <c r="U28" s="2">
        <f t="shared" si="2"/>
        <v>4.1851999999998668E-2</v>
      </c>
      <c r="V28" s="6">
        <v>5688.9647000000004</v>
      </c>
      <c r="W28" s="12"/>
      <c r="Y28" s="15"/>
      <c r="Z28" s="3">
        <v>27</v>
      </c>
      <c r="AA28" s="1">
        <v>38.236037000000003</v>
      </c>
      <c r="AB28" s="1">
        <v>38.276649999999997</v>
      </c>
      <c r="AC28" s="2">
        <f t="shared" si="3"/>
        <v>4.0612999999993349E-2</v>
      </c>
      <c r="AD28" s="6">
        <v>5688.9647000000004</v>
      </c>
      <c r="AE28" s="12"/>
    </row>
    <row r="29" spans="1:31" x14ac:dyDescent="0.25">
      <c r="A29" s="15"/>
      <c r="B29" s="3">
        <v>32</v>
      </c>
      <c r="C29" s="1">
        <v>36.771481000000001</v>
      </c>
      <c r="D29" s="1">
        <v>36.775396000000001</v>
      </c>
      <c r="E29" s="2">
        <f t="shared" si="0"/>
        <v>3.9149999999992247E-3</v>
      </c>
      <c r="F29" s="6">
        <v>2803.6941000000002</v>
      </c>
      <c r="G29" s="12"/>
      <c r="I29" s="15"/>
      <c r="J29" s="3">
        <v>32</v>
      </c>
      <c r="K29" s="1">
        <v>36.771481000000001</v>
      </c>
      <c r="L29" s="1">
        <v>36.834712000000003</v>
      </c>
      <c r="M29" s="2">
        <f t="shared" si="1"/>
        <v>6.3231000000001814E-2</v>
      </c>
      <c r="N29" s="6">
        <v>2803.6941000000002</v>
      </c>
      <c r="O29" s="12"/>
      <c r="Q29" s="15"/>
      <c r="R29" s="3">
        <v>32</v>
      </c>
      <c r="S29" s="1">
        <v>36.771481000000001</v>
      </c>
      <c r="T29" s="1">
        <v>36.884878999999998</v>
      </c>
      <c r="U29" s="2">
        <f t="shared" si="2"/>
        <v>0.11339799999999656</v>
      </c>
      <c r="V29" s="6">
        <v>2803.6941000000002</v>
      </c>
      <c r="W29" s="12"/>
      <c r="Y29" s="15"/>
      <c r="Z29" s="3">
        <v>32</v>
      </c>
      <c r="AA29" s="1">
        <v>36.771481000000001</v>
      </c>
      <c r="AB29" s="1">
        <v>36.932572</v>
      </c>
      <c r="AC29" s="2">
        <f t="shared" si="3"/>
        <v>0.16109099999999899</v>
      </c>
      <c r="AD29" s="6">
        <v>2803.6941000000002</v>
      </c>
      <c r="AE29" s="12"/>
    </row>
    <row r="30" spans="1:31" x14ac:dyDescent="0.25">
      <c r="A30" s="16"/>
      <c r="B30" s="3">
        <v>37</v>
      </c>
      <c r="C30" s="1">
        <v>35.254002</v>
      </c>
      <c r="D30" s="1">
        <v>35.377471</v>
      </c>
      <c r="E30" s="2">
        <f t="shared" si="0"/>
        <v>0.12346900000000005</v>
      </c>
      <c r="F30" s="6">
        <v>1493.2941000000001</v>
      </c>
      <c r="G30" s="12"/>
      <c r="I30" s="16"/>
      <c r="J30" s="3">
        <v>37</v>
      </c>
      <c r="K30" s="1">
        <v>35.254002</v>
      </c>
      <c r="L30" s="1">
        <v>35.367871999999998</v>
      </c>
      <c r="M30" s="2">
        <f t="shared" si="1"/>
        <v>0.11386999999999858</v>
      </c>
      <c r="N30" s="6">
        <v>1493.2941000000001</v>
      </c>
      <c r="O30" s="12"/>
      <c r="Q30" s="16"/>
      <c r="R30" s="3">
        <v>37</v>
      </c>
      <c r="S30" s="1">
        <v>35.254002</v>
      </c>
      <c r="T30" s="1">
        <v>35.422682999999999</v>
      </c>
      <c r="U30" s="2">
        <f t="shared" si="2"/>
        <v>0.16868099999999941</v>
      </c>
      <c r="V30" s="6">
        <v>1493.2941000000001</v>
      </c>
      <c r="W30" s="12"/>
      <c r="Y30" s="16"/>
      <c r="Z30" s="3">
        <v>37</v>
      </c>
      <c r="AA30" s="1">
        <v>35.254002</v>
      </c>
      <c r="AB30" s="1">
        <v>35.461919999999999</v>
      </c>
      <c r="AC30" s="2">
        <f t="shared" si="3"/>
        <v>0.20791799999999938</v>
      </c>
      <c r="AD30" s="6">
        <v>1493.2941000000001</v>
      </c>
      <c r="AE30" s="12"/>
    </row>
    <row r="31" spans="1:31" x14ac:dyDescent="0.25">
      <c r="A31" s="14" t="s">
        <v>8</v>
      </c>
      <c r="B31" s="3">
        <v>22</v>
      </c>
      <c r="C31" s="1">
        <v>39.707650999999998</v>
      </c>
      <c r="D31" s="1">
        <v>39.722670000000001</v>
      </c>
      <c r="E31" s="2">
        <f t="shared" si="0"/>
        <v>1.5019000000002336E-2</v>
      </c>
      <c r="F31" s="6">
        <v>4683.0074000000004</v>
      </c>
      <c r="G31" s="12">
        <f>bdrate(F31:F34,C31:C34,F31:F34,D31:D34)</f>
        <v>-1.9299620374088278E-2</v>
      </c>
      <c r="I31" s="14" t="s">
        <v>8</v>
      </c>
      <c r="J31" s="3">
        <v>22</v>
      </c>
      <c r="K31" s="1">
        <v>39.707650999999998</v>
      </c>
      <c r="L31" s="1">
        <v>39.745358000000003</v>
      </c>
      <c r="M31" s="2">
        <f t="shared" si="1"/>
        <v>3.7707000000004598E-2</v>
      </c>
      <c r="N31" s="6">
        <v>4683.0074000000004</v>
      </c>
      <c r="O31" s="12">
        <f t="shared" si="4"/>
        <v>-2.5064915888790229E-2</v>
      </c>
      <c r="Q31" s="23" t="s">
        <v>8</v>
      </c>
      <c r="R31" s="3">
        <v>22</v>
      </c>
      <c r="S31" s="1">
        <v>39.707650999999998</v>
      </c>
      <c r="T31" s="1">
        <v>39.762576000000003</v>
      </c>
      <c r="U31" s="2">
        <f t="shared" si="2"/>
        <v>5.4925000000004331E-2</v>
      </c>
      <c r="V31" s="6">
        <v>4683.0074000000004</v>
      </c>
      <c r="W31" s="12">
        <f t="shared" si="5"/>
        <v>-3.9788002992183213E-2</v>
      </c>
      <c r="Y31" s="14" t="s">
        <v>8</v>
      </c>
      <c r="Z31" s="3">
        <v>22</v>
      </c>
      <c r="AA31" s="1">
        <v>39.707650999999998</v>
      </c>
      <c r="AB31" s="1">
        <v>39.780923000000001</v>
      </c>
      <c r="AC31" s="2">
        <f t="shared" si="3"/>
        <v>7.327200000000289E-2</v>
      </c>
      <c r="AD31" s="6">
        <v>4683.0074000000004</v>
      </c>
      <c r="AE31" s="12">
        <f>bdrate(AD31:AD34,AA31:AA34,AD31:AD34,AB31:AB34)</f>
        <v>-4.2606721789744118E-2</v>
      </c>
    </row>
    <row r="32" spans="1:31" x14ac:dyDescent="0.25">
      <c r="A32" s="15"/>
      <c r="B32" s="3">
        <v>27</v>
      </c>
      <c r="C32" s="1">
        <v>36.495704000000003</v>
      </c>
      <c r="D32" s="1">
        <v>36.566661000000003</v>
      </c>
      <c r="E32" s="2">
        <f t="shared" si="0"/>
        <v>7.0956999999999937E-2</v>
      </c>
      <c r="F32" s="6">
        <v>1791.9462000000001</v>
      </c>
      <c r="G32" s="12"/>
      <c r="I32" s="15"/>
      <c r="J32" s="3">
        <v>27</v>
      </c>
      <c r="K32" s="1">
        <v>36.495704000000003</v>
      </c>
      <c r="L32" s="1">
        <v>36.556637000000002</v>
      </c>
      <c r="M32" s="2">
        <f t="shared" si="1"/>
        <v>6.0932999999998572E-2</v>
      </c>
      <c r="N32" s="6">
        <v>1791.9462000000001</v>
      </c>
      <c r="O32" s="12"/>
      <c r="Q32" s="21"/>
      <c r="R32" s="3">
        <v>27</v>
      </c>
      <c r="S32" s="1">
        <v>36.495704000000003</v>
      </c>
      <c r="T32" s="1">
        <v>36.606217999999998</v>
      </c>
      <c r="U32" s="2">
        <f t="shared" si="2"/>
        <v>0.11051399999999489</v>
      </c>
      <c r="V32" s="6">
        <v>1791.9462000000001</v>
      </c>
      <c r="W32" s="12"/>
      <c r="Y32" s="15"/>
      <c r="Z32" s="3">
        <v>27</v>
      </c>
      <c r="AA32" s="1">
        <v>36.495704000000003</v>
      </c>
      <c r="AB32" s="1">
        <v>36.625315999999998</v>
      </c>
      <c r="AC32" s="2">
        <f t="shared" si="3"/>
        <v>0.12961199999999451</v>
      </c>
      <c r="AD32" s="6">
        <v>1791.9462000000001</v>
      </c>
      <c r="AE32" s="12"/>
    </row>
    <row r="33" spans="1:31" x14ac:dyDescent="0.25">
      <c r="A33" s="15"/>
      <c r="B33" s="3">
        <v>32</v>
      </c>
      <c r="C33" s="1">
        <v>34.538325999999998</v>
      </c>
      <c r="D33" s="1">
        <v>34.562707000000003</v>
      </c>
      <c r="E33" s="2">
        <f>D33-C33</f>
        <v>2.4381000000005315E-2</v>
      </c>
      <c r="F33" s="6">
        <v>806.93439999999998</v>
      </c>
      <c r="G33" s="12"/>
      <c r="I33" s="15"/>
      <c r="J33" s="3">
        <v>32</v>
      </c>
      <c r="K33" s="1">
        <v>34.538325999999998</v>
      </c>
      <c r="L33" s="1">
        <v>34.615945000000004</v>
      </c>
      <c r="M33" s="2">
        <f t="shared" si="1"/>
        <v>7.7619000000005656E-2</v>
      </c>
      <c r="N33" s="6">
        <v>806.93439999999998</v>
      </c>
      <c r="O33" s="12"/>
      <c r="Q33" s="21"/>
      <c r="R33" s="3">
        <v>32</v>
      </c>
      <c r="S33" s="1">
        <v>34.538325999999998</v>
      </c>
      <c r="T33" s="1">
        <v>34.653077000000003</v>
      </c>
      <c r="U33" s="2">
        <f t="shared" si="2"/>
        <v>0.11475100000000538</v>
      </c>
      <c r="V33" s="6">
        <v>806.93439999999998</v>
      </c>
      <c r="W33" s="12"/>
      <c r="Y33" s="15"/>
      <c r="Z33" s="3">
        <v>32</v>
      </c>
      <c r="AA33" s="1">
        <v>34.538325999999998</v>
      </c>
      <c r="AB33" s="1">
        <v>34.636243999999998</v>
      </c>
      <c r="AC33" s="2">
        <f t="shared" si="3"/>
        <v>9.791799999999995E-2</v>
      </c>
      <c r="AD33" s="6">
        <v>806.93439999999998</v>
      </c>
      <c r="AE33" s="12"/>
    </row>
    <row r="34" spans="1:31" x14ac:dyDescent="0.25">
      <c r="A34" s="16"/>
      <c r="B34" s="3">
        <v>37</v>
      </c>
      <c r="C34" s="1">
        <v>33.01352</v>
      </c>
      <c r="D34" s="1">
        <v>33.095820000000003</v>
      </c>
      <c r="E34" s="2">
        <f t="shared" si="0"/>
        <v>8.2300000000003593E-2</v>
      </c>
      <c r="F34" s="6">
        <v>374.7149</v>
      </c>
      <c r="G34" s="12"/>
      <c r="I34" s="16"/>
      <c r="J34" s="3">
        <v>37</v>
      </c>
      <c r="K34" s="1">
        <v>33.01352</v>
      </c>
      <c r="L34" s="1">
        <v>33.112380999999999</v>
      </c>
      <c r="M34" s="2">
        <f t="shared" si="1"/>
        <v>9.8860999999999422E-2</v>
      </c>
      <c r="N34" s="6">
        <v>374.7149</v>
      </c>
      <c r="O34" s="12"/>
      <c r="Q34" s="22"/>
      <c r="R34" s="3">
        <v>37</v>
      </c>
      <c r="S34" s="1">
        <v>33.01352</v>
      </c>
      <c r="T34" s="1">
        <v>33.146388000000002</v>
      </c>
      <c r="U34" s="2">
        <f t="shared" si="2"/>
        <v>0.13286800000000198</v>
      </c>
      <c r="V34" s="6">
        <v>374.7149</v>
      </c>
      <c r="W34" s="12"/>
      <c r="Y34" s="16"/>
      <c r="Z34" s="3">
        <v>37</v>
      </c>
      <c r="AA34" s="1">
        <v>33.01352</v>
      </c>
      <c r="AB34" s="1">
        <v>33.160623999999999</v>
      </c>
      <c r="AC34" s="2">
        <f t="shared" si="3"/>
        <v>0.14710399999999879</v>
      </c>
      <c r="AD34" s="6">
        <v>374.7149</v>
      </c>
      <c r="AE34" s="12"/>
    </row>
    <row r="35" spans="1:31" x14ac:dyDescent="0.25">
      <c r="A35" s="14" t="s">
        <v>24</v>
      </c>
      <c r="B35" s="3">
        <v>22</v>
      </c>
      <c r="C35" s="1">
        <v>40.183391</v>
      </c>
      <c r="D35" s="1">
        <v>40.077041999999999</v>
      </c>
      <c r="E35" s="2">
        <f t="shared" si="0"/>
        <v>-0.10634900000000158</v>
      </c>
      <c r="F35" s="6">
        <v>3835.3568</v>
      </c>
      <c r="G35" s="12">
        <f t="shared" ref="G35" si="17">bdrate(F35:F38,C35:C38,F35:F38,D35:D38)</f>
        <v>1.1308770834086213E-2</v>
      </c>
      <c r="I35" s="14" t="s">
        <v>24</v>
      </c>
      <c r="J35" s="3">
        <v>22</v>
      </c>
      <c r="K35" s="1">
        <v>40.183391</v>
      </c>
      <c r="L35" s="1">
        <v>40.099518000000003</v>
      </c>
      <c r="M35" s="2">
        <f t="shared" si="1"/>
        <v>-8.3872999999996978E-2</v>
      </c>
      <c r="N35" s="6">
        <v>3835.3568</v>
      </c>
      <c r="O35" s="12">
        <f t="shared" ref="O35" si="18">bdrate(N35:N38,K35:K38,N35:N38,L35:L38)</f>
        <v>-1.1761999070726503E-2</v>
      </c>
      <c r="Q35" s="14" t="s">
        <v>24</v>
      </c>
      <c r="R35" s="3">
        <v>22</v>
      </c>
      <c r="S35" s="1">
        <v>40.183391</v>
      </c>
      <c r="T35" s="1">
        <v>40.233649999999997</v>
      </c>
      <c r="U35" s="2">
        <f t="shared" si="2"/>
        <v>5.0258999999996945E-2</v>
      </c>
      <c r="V35" s="6">
        <v>3835.3568</v>
      </c>
      <c r="W35" s="12">
        <f t="shared" ref="W35" si="19">bdrate(V35:V38,S35:S38,V35:V38,T35:T38)</f>
        <v>-4.1022892797217381E-2</v>
      </c>
      <c r="Y35" s="14" t="s">
        <v>24</v>
      </c>
      <c r="Z35" s="3">
        <v>22</v>
      </c>
      <c r="AA35" s="1">
        <v>40.183391</v>
      </c>
      <c r="AB35" s="1">
        <v>40.324008999999997</v>
      </c>
      <c r="AC35" s="2">
        <f t="shared" si="3"/>
        <v>0.14061799999999636</v>
      </c>
      <c r="AD35" s="6">
        <v>3835.3568</v>
      </c>
      <c r="AE35" s="12">
        <f>bdrate(AD35:AD38,AA35:AA38,AD35:AD38,AB35:AB38)</f>
        <v>-6.1608910593285104E-2</v>
      </c>
    </row>
    <row r="36" spans="1:31" x14ac:dyDescent="0.25">
      <c r="A36" s="15"/>
      <c r="B36" s="3">
        <v>27</v>
      </c>
      <c r="C36" s="1">
        <v>37.153754999999997</v>
      </c>
      <c r="D36" s="1">
        <v>37.094110000000001</v>
      </c>
      <c r="E36" s="2">
        <f t="shared" si="0"/>
        <v>-5.9644999999996173E-2</v>
      </c>
      <c r="F36" s="6">
        <v>1709.02</v>
      </c>
      <c r="G36" s="12"/>
      <c r="I36" s="15"/>
      <c r="J36" s="3">
        <v>27</v>
      </c>
      <c r="K36" s="1">
        <v>37.153754999999997</v>
      </c>
      <c r="L36" s="1">
        <v>37.196168999999998</v>
      </c>
      <c r="M36" s="2">
        <f t="shared" si="1"/>
        <v>4.241400000000084E-2</v>
      </c>
      <c r="N36" s="6">
        <v>1709.02</v>
      </c>
      <c r="O36" s="12"/>
      <c r="Q36" s="15"/>
      <c r="R36" s="3">
        <v>27</v>
      </c>
      <c r="S36" s="1">
        <v>37.153754999999997</v>
      </c>
      <c r="T36" s="1">
        <v>37.295769999999997</v>
      </c>
      <c r="U36" s="2">
        <f t="shared" si="2"/>
        <v>0.14201500000000067</v>
      </c>
      <c r="V36" s="6">
        <v>1709.02</v>
      </c>
      <c r="W36" s="12"/>
      <c r="Y36" s="15"/>
      <c r="Z36" s="3">
        <v>27</v>
      </c>
      <c r="AA36" s="1">
        <v>37.153754999999997</v>
      </c>
      <c r="AB36" s="1">
        <v>37.367390999999998</v>
      </c>
      <c r="AC36" s="2">
        <f t="shared" si="3"/>
        <v>0.21363600000000105</v>
      </c>
      <c r="AD36" s="6">
        <v>1709.02</v>
      </c>
      <c r="AE36" s="12"/>
    </row>
    <row r="37" spans="1:31" x14ac:dyDescent="0.25">
      <c r="A37" s="15"/>
      <c r="B37" s="3">
        <v>32</v>
      </c>
      <c r="C37" s="1">
        <v>34.909120000000001</v>
      </c>
      <c r="D37" s="1">
        <v>34.905605000000001</v>
      </c>
      <c r="E37" s="2">
        <f t="shared" si="0"/>
        <v>-3.5150000000001569E-3</v>
      </c>
      <c r="F37" s="6">
        <v>839.97360000000003</v>
      </c>
      <c r="G37" s="12"/>
      <c r="I37" s="15"/>
      <c r="J37" s="3">
        <v>32</v>
      </c>
      <c r="K37" s="1">
        <v>34.909120000000001</v>
      </c>
      <c r="L37" s="1">
        <v>34.972253000000002</v>
      </c>
      <c r="M37" s="2">
        <f t="shared" si="1"/>
        <v>6.313300000000055E-2</v>
      </c>
      <c r="N37" s="6">
        <v>839.97360000000003</v>
      </c>
      <c r="O37" s="12"/>
      <c r="Q37" s="15"/>
      <c r="R37" s="3">
        <v>32</v>
      </c>
      <c r="S37" s="1">
        <v>34.909120000000001</v>
      </c>
      <c r="T37" s="1">
        <v>35.052002000000002</v>
      </c>
      <c r="U37" s="2">
        <f t="shared" si="2"/>
        <v>0.14288200000000018</v>
      </c>
      <c r="V37" s="6">
        <v>839.97360000000003</v>
      </c>
      <c r="W37" s="12"/>
      <c r="Y37" s="15"/>
      <c r="Z37" s="3">
        <v>32</v>
      </c>
      <c r="AA37" s="1">
        <v>34.909120000000001</v>
      </c>
      <c r="AB37" s="1">
        <v>35.111002999999997</v>
      </c>
      <c r="AC37" s="2">
        <f t="shared" si="3"/>
        <v>0.20188299999999515</v>
      </c>
      <c r="AD37" s="6">
        <v>839.97360000000003</v>
      </c>
      <c r="AE37" s="12"/>
    </row>
    <row r="38" spans="1:31" x14ac:dyDescent="0.25">
      <c r="A38" s="16"/>
      <c r="B38" s="3">
        <v>37</v>
      </c>
      <c r="C38" s="1">
        <v>33.363435000000003</v>
      </c>
      <c r="D38" s="1">
        <v>33.417973000000003</v>
      </c>
      <c r="E38" s="2">
        <f t="shared" si="0"/>
        <v>5.4538000000000864E-2</v>
      </c>
      <c r="F38" s="6">
        <v>438.36079999999998</v>
      </c>
      <c r="G38" s="12"/>
      <c r="I38" s="16"/>
      <c r="J38" s="3">
        <v>37</v>
      </c>
      <c r="K38" s="1">
        <v>33.363435000000003</v>
      </c>
      <c r="L38" s="1">
        <v>33.443559999999998</v>
      </c>
      <c r="M38" s="2">
        <f t="shared" si="1"/>
        <v>8.0124999999995339E-2</v>
      </c>
      <c r="N38" s="6">
        <v>438.36079999999998</v>
      </c>
      <c r="O38" s="12"/>
      <c r="Q38" s="16"/>
      <c r="R38" s="3">
        <v>37</v>
      </c>
      <c r="S38" s="1">
        <v>33.363435000000003</v>
      </c>
      <c r="T38" s="1">
        <v>33.516312999999997</v>
      </c>
      <c r="U38" s="2">
        <f t="shared" si="2"/>
        <v>0.15287799999999407</v>
      </c>
      <c r="V38" s="6">
        <v>438.36079999999998</v>
      </c>
      <c r="W38" s="12"/>
      <c r="Y38" s="16"/>
      <c r="Z38" s="3">
        <v>37</v>
      </c>
      <c r="AA38" s="1">
        <v>33.363435000000003</v>
      </c>
      <c r="AB38" s="1">
        <v>33.571399999999997</v>
      </c>
      <c r="AC38" s="2">
        <f t="shared" si="3"/>
        <v>0.2079649999999944</v>
      </c>
      <c r="AD38" s="6">
        <v>438.36079999999998</v>
      </c>
      <c r="AE38" s="12"/>
    </row>
    <row r="39" spans="1:31" x14ac:dyDescent="0.25">
      <c r="A39" s="14" t="s">
        <v>25</v>
      </c>
      <c r="B39" s="3">
        <v>22</v>
      </c>
      <c r="C39" s="1">
        <v>40.033467999999999</v>
      </c>
      <c r="D39" s="1">
        <v>40.007300000000001</v>
      </c>
      <c r="E39" s="2">
        <f t="shared" si="0"/>
        <v>-2.6167999999998415E-2</v>
      </c>
      <c r="F39" s="6">
        <v>4553.4175999999998</v>
      </c>
      <c r="G39" s="12">
        <f t="shared" ref="G39" si="20">bdrate(F39:F42,C39:C42,F39:F42,D39:D42)</f>
        <v>-1.6073668615770642E-2</v>
      </c>
      <c r="I39" s="14" t="s">
        <v>25</v>
      </c>
      <c r="J39" s="3">
        <v>22</v>
      </c>
      <c r="K39" s="1">
        <v>40.033467999999999</v>
      </c>
      <c r="L39" s="1">
        <v>40.045948000000003</v>
      </c>
      <c r="M39" s="2">
        <f t="shared" si="1"/>
        <v>1.2480000000003599E-2</v>
      </c>
      <c r="N39" s="6">
        <v>4553.4175999999998</v>
      </c>
      <c r="O39" s="12">
        <f t="shared" ref="O39" si="21">bdrate(N39:N42,K39:K42,N39:N42,L39:L42)</f>
        <v>-2.9613720496814544E-2</v>
      </c>
      <c r="Q39" s="14" t="s">
        <v>25</v>
      </c>
      <c r="R39" s="3">
        <v>22</v>
      </c>
      <c r="S39" s="1">
        <v>40.033467999999999</v>
      </c>
      <c r="T39" s="1">
        <v>40.077156000000002</v>
      </c>
      <c r="U39" s="2">
        <f t="shared" si="2"/>
        <v>4.3688000000003058E-2</v>
      </c>
      <c r="V39" s="6">
        <v>4553.4175999999998</v>
      </c>
      <c r="W39" s="12">
        <f t="shared" ref="W39" si="22">bdrate(V39:V42,S39:S42,V39:V42,T39:T42)</f>
        <v>-4.6924375714549882E-2</v>
      </c>
      <c r="Y39" s="14" t="s">
        <v>25</v>
      </c>
      <c r="Z39" s="3">
        <v>22</v>
      </c>
      <c r="AA39" s="1">
        <v>40.033467999999999</v>
      </c>
      <c r="AB39" s="1">
        <v>40.113874000000003</v>
      </c>
      <c r="AC39" s="2">
        <f t="shared" si="3"/>
        <v>8.040600000000353E-2</v>
      </c>
      <c r="AD39" s="6">
        <v>4553.4175999999998</v>
      </c>
      <c r="AE39" s="12">
        <f>bdrate(AD39:AD42,AA39:AA42,AD39:AD42,AB39:AB42)</f>
        <v>-5.5770997006891143E-2</v>
      </c>
    </row>
    <row r="40" spans="1:31" x14ac:dyDescent="0.25">
      <c r="A40" s="15"/>
      <c r="B40" s="3">
        <v>27</v>
      </c>
      <c r="C40" s="1">
        <v>37.360081999999998</v>
      </c>
      <c r="D40" s="1">
        <v>37.415132</v>
      </c>
      <c r="E40" s="2">
        <f t="shared" si="0"/>
        <v>5.5050000000001376E-2</v>
      </c>
      <c r="F40" s="6">
        <v>1913.4359999999999</v>
      </c>
      <c r="G40" s="12"/>
      <c r="I40" s="15"/>
      <c r="J40" s="3">
        <v>27</v>
      </c>
      <c r="K40" s="1">
        <v>37.360081999999998</v>
      </c>
      <c r="L40" s="1">
        <v>37.436270999999998</v>
      </c>
      <c r="M40" s="2">
        <f t="shared" si="1"/>
        <v>7.6188999999999396E-2</v>
      </c>
      <c r="N40" s="6">
        <v>1913.4359999999999</v>
      </c>
      <c r="O40" s="12"/>
      <c r="Q40" s="15"/>
      <c r="R40" s="3">
        <v>27</v>
      </c>
      <c r="S40" s="1">
        <v>37.360081999999998</v>
      </c>
      <c r="T40" s="1">
        <v>37.486674000000001</v>
      </c>
      <c r="U40" s="2">
        <f t="shared" si="2"/>
        <v>0.12659200000000226</v>
      </c>
      <c r="V40" s="6">
        <v>1913.4359999999999</v>
      </c>
      <c r="W40" s="12"/>
      <c r="Y40" s="15"/>
      <c r="Z40" s="3">
        <v>27</v>
      </c>
      <c r="AA40" s="1">
        <v>37.360081999999998</v>
      </c>
      <c r="AB40" s="1">
        <v>37.495936999999998</v>
      </c>
      <c r="AC40" s="2">
        <f t="shared" si="3"/>
        <v>0.13585499999999939</v>
      </c>
      <c r="AD40" s="6">
        <v>1913.4359999999999</v>
      </c>
      <c r="AE40" s="12"/>
    </row>
    <row r="41" spans="1:31" x14ac:dyDescent="0.25">
      <c r="A41" s="15"/>
      <c r="B41" s="3">
        <v>32</v>
      </c>
      <c r="C41" s="1">
        <v>35.184871999999999</v>
      </c>
      <c r="D41" s="1">
        <v>35.233629000000001</v>
      </c>
      <c r="E41" s="2">
        <f t="shared" si="0"/>
        <v>4.8757000000001938E-2</v>
      </c>
      <c r="F41" s="6">
        <v>928.27520000000004</v>
      </c>
      <c r="G41" s="12"/>
      <c r="I41" s="15"/>
      <c r="J41" s="3">
        <v>32</v>
      </c>
      <c r="K41" s="1">
        <v>35.184871999999999</v>
      </c>
      <c r="L41" s="1">
        <v>35.299850999999997</v>
      </c>
      <c r="M41" s="2">
        <f t="shared" si="1"/>
        <v>0.11497899999999817</v>
      </c>
      <c r="N41" s="6">
        <v>928.27520000000004</v>
      </c>
      <c r="O41" s="12"/>
      <c r="Q41" s="15"/>
      <c r="R41" s="3">
        <v>32</v>
      </c>
      <c r="S41" s="1">
        <v>35.184871999999999</v>
      </c>
      <c r="T41" s="1">
        <v>35.359211999999999</v>
      </c>
      <c r="U41" s="2">
        <f t="shared" si="2"/>
        <v>0.17434000000000083</v>
      </c>
      <c r="V41" s="6">
        <v>928.27520000000004</v>
      </c>
      <c r="W41" s="12"/>
      <c r="Y41" s="15"/>
      <c r="Z41" s="3">
        <v>32</v>
      </c>
      <c r="AA41" s="1">
        <v>35.184871999999999</v>
      </c>
      <c r="AB41" s="1">
        <v>35.402228000000001</v>
      </c>
      <c r="AC41" s="2">
        <f t="shared" si="3"/>
        <v>0.21735600000000233</v>
      </c>
      <c r="AD41" s="6">
        <v>928.27520000000004</v>
      </c>
      <c r="AE41" s="12"/>
    </row>
    <row r="42" spans="1:31" x14ac:dyDescent="0.25">
      <c r="A42" s="16"/>
      <c r="B42" s="3">
        <v>37</v>
      </c>
      <c r="C42" s="1">
        <v>33.466562000000003</v>
      </c>
      <c r="D42" s="1">
        <v>33.572166000000003</v>
      </c>
      <c r="E42" s="2">
        <f t="shared" si="0"/>
        <v>0.10560399999999959</v>
      </c>
      <c r="F42" s="6">
        <v>471.99200000000002</v>
      </c>
      <c r="G42" s="12"/>
      <c r="I42" s="16"/>
      <c r="J42" s="3">
        <v>37</v>
      </c>
      <c r="K42" s="1">
        <v>33.466562000000003</v>
      </c>
      <c r="L42" s="1">
        <v>33.610202999999998</v>
      </c>
      <c r="M42" s="2">
        <f t="shared" si="1"/>
        <v>0.14364099999999524</v>
      </c>
      <c r="N42" s="6">
        <v>471.99200000000002</v>
      </c>
      <c r="O42" s="12"/>
      <c r="Q42" s="16"/>
      <c r="R42" s="3">
        <v>37</v>
      </c>
      <c r="S42" s="1">
        <v>33.466562000000003</v>
      </c>
      <c r="T42" s="1">
        <v>33.672274999999999</v>
      </c>
      <c r="U42" s="2">
        <f t="shared" si="2"/>
        <v>0.20571299999999582</v>
      </c>
      <c r="V42" s="6">
        <v>471.99200000000002</v>
      </c>
      <c r="W42" s="12"/>
      <c r="Y42" s="16"/>
      <c r="Z42" s="3">
        <v>37</v>
      </c>
      <c r="AA42" s="1">
        <v>33.466562000000003</v>
      </c>
      <c r="AB42" s="1">
        <v>33.707714000000003</v>
      </c>
      <c r="AC42" s="2">
        <f t="shared" si="3"/>
        <v>0.24115199999999959</v>
      </c>
      <c r="AD42" s="6">
        <v>471.99200000000002</v>
      </c>
      <c r="AE42" s="12"/>
    </row>
    <row r="43" spans="1:31" x14ac:dyDescent="0.25">
      <c r="A43" s="14" t="s">
        <v>26</v>
      </c>
      <c r="B43" s="3">
        <v>22</v>
      </c>
      <c r="C43" s="1">
        <v>38.268937999999999</v>
      </c>
      <c r="D43" s="1">
        <v>38.174272000000002</v>
      </c>
      <c r="E43" s="2">
        <f t="shared" si="0"/>
        <v>-9.4665999999996586E-2</v>
      </c>
      <c r="F43" s="6">
        <v>9132.9624000000003</v>
      </c>
      <c r="G43" s="12">
        <f t="shared" ref="G43" si="23">bdrate(F43:F46,C43:C46,F43:F46,D43:D46)</f>
        <v>1.9453463893910339E-3</v>
      </c>
      <c r="I43" s="14" t="s">
        <v>26</v>
      </c>
      <c r="J43" s="3">
        <v>22</v>
      </c>
      <c r="K43" s="1">
        <v>38.268937999999999</v>
      </c>
      <c r="L43" s="1">
        <v>38.198078000000002</v>
      </c>
      <c r="M43" s="2">
        <f t="shared" si="1"/>
        <v>-7.0859999999996148E-2</v>
      </c>
      <c r="N43" s="6">
        <v>9132.9624000000003</v>
      </c>
      <c r="O43" s="12">
        <f t="shared" ref="O43" si="24">bdrate(N43:N46,K43:K46,N43:N46,L43:L46)</f>
        <v>-7.9094053106777418E-3</v>
      </c>
      <c r="Q43" s="14" t="s">
        <v>26</v>
      </c>
      <c r="R43" s="3">
        <v>22</v>
      </c>
      <c r="S43" s="1">
        <v>38.268937999999999</v>
      </c>
      <c r="T43" s="1">
        <v>38.230724000000002</v>
      </c>
      <c r="U43" s="2">
        <f t="shared" si="2"/>
        <v>-3.8213999999996418E-2</v>
      </c>
      <c r="V43" s="6">
        <v>9132.9624000000003</v>
      </c>
      <c r="W43" s="12">
        <f t="shared" ref="W43" si="25">bdrate(V43:V46,S43:S46,V43:V46,T43:T46)</f>
        <v>-2.5088567186731692E-2</v>
      </c>
      <c r="Y43" s="14" t="s">
        <v>26</v>
      </c>
      <c r="Z43" s="3">
        <v>22</v>
      </c>
      <c r="AA43" s="1">
        <v>38.268937999999999</v>
      </c>
      <c r="AB43" s="1">
        <v>38.259977999999997</v>
      </c>
      <c r="AC43" s="2">
        <f t="shared" si="3"/>
        <v>-8.9600000000018554E-3</v>
      </c>
      <c r="AD43" s="6">
        <v>9132.9624000000003</v>
      </c>
      <c r="AE43" s="12">
        <f>bdrate(AD43:AD46,AA43:AA46,AD43:AD46,AB43:AB46)</f>
        <v>-3.2066007096084093E-2</v>
      </c>
    </row>
    <row r="44" spans="1:31" x14ac:dyDescent="0.25">
      <c r="A44" s="15"/>
      <c r="B44" s="3">
        <v>27</v>
      </c>
      <c r="C44" s="1">
        <v>34.798848</v>
      </c>
      <c r="D44" s="1">
        <v>34.782789000000001</v>
      </c>
      <c r="E44" s="2">
        <f t="shared" si="0"/>
        <v>-1.6058999999998491E-2</v>
      </c>
      <c r="F44" s="6">
        <v>3530.556</v>
      </c>
      <c r="G44" s="12"/>
      <c r="I44" s="15"/>
      <c r="J44" s="3">
        <v>27</v>
      </c>
      <c r="K44" s="1">
        <v>34.798848</v>
      </c>
      <c r="L44" s="1">
        <v>34.812840000000001</v>
      </c>
      <c r="M44" s="2">
        <f t="shared" si="1"/>
        <v>1.3992000000001781E-2</v>
      </c>
      <c r="N44" s="6">
        <v>3530.556</v>
      </c>
      <c r="O44" s="12"/>
      <c r="Q44" s="15"/>
      <c r="R44" s="3">
        <v>27</v>
      </c>
      <c r="S44" s="1">
        <v>34.798848</v>
      </c>
      <c r="T44" s="1">
        <v>34.868493000000001</v>
      </c>
      <c r="U44" s="2">
        <f t="shared" si="2"/>
        <v>6.9645000000001289E-2</v>
      </c>
      <c r="V44" s="6">
        <v>3530.556</v>
      </c>
      <c r="W44" s="12"/>
      <c r="Y44" s="15"/>
      <c r="Z44" s="3">
        <v>27</v>
      </c>
      <c r="AA44" s="1">
        <v>34.798848</v>
      </c>
      <c r="AB44" s="1">
        <v>34.895792</v>
      </c>
      <c r="AC44" s="2">
        <f t="shared" si="3"/>
        <v>9.6944000000000585E-2</v>
      </c>
      <c r="AD44" s="6">
        <v>3530.556</v>
      </c>
      <c r="AE44" s="12"/>
    </row>
    <row r="45" spans="1:31" x14ac:dyDescent="0.25">
      <c r="A45" s="15"/>
      <c r="B45" s="3">
        <v>32</v>
      </c>
      <c r="C45" s="1">
        <v>32.64631</v>
      </c>
      <c r="D45" s="1">
        <v>32.664883000000003</v>
      </c>
      <c r="E45" s="2">
        <f t="shared" si="0"/>
        <v>1.8573000000003503E-2</v>
      </c>
      <c r="F45" s="6">
        <v>1541.7136</v>
      </c>
      <c r="G45" s="12"/>
      <c r="I45" s="15"/>
      <c r="J45" s="3">
        <v>32</v>
      </c>
      <c r="K45" s="1">
        <v>32.64631</v>
      </c>
      <c r="L45" s="1">
        <v>32.693275999999997</v>
      </c>
      <c r="M45" s="2">
        <f t="shared" si="1"/>
        <v>4.6965999999997621E-2</v>
      </c>
      <c r="N45" s="6">
        <v>1541.7136</v>
      </c>
      <c r="O45" s="12"/>
      <c r="Q45" s="15"/>
      <c r="R45" s="3">
        <v>32</v>
      </c>
      <c r="S45" s="1">
        <v>32.64631</v>
      </c>
      <c r="T45" s="1">
        <v>32.737769999999998</v>
      </c>
      <c r="U45" s="2">
        <f t="shared" si="2"/>
        <v>9.1459999999997876E-2</v>
      </c>
      <c r="V45" s="6">
        <v>1541.7136</v>
      </c>
      <c r="W45" s="12"/>
      <c r="Y45" s="15"/>
      <c r="Z45" s="3">
        <v>32</v>
      </c>
      <c r="AA45" s="1">
        <v>32.64631</v>
      </c>
      <c r="AB45" s="1">
        <v>32.752853999999999</v>
      </c>
      <c r="AC45" s="2">
        <f t="shared" si="3"/>
        <v>0.10654399999999953</v>
      </c>
      <c r="AD45" s="6">
        <v>1541.7136</v>
      </c>
      <c r="AE45" s="12"/>
    </row>
    <row r="46" spans="1:31" x14ac:dyDescent="0.25">
      <c r="A46" s="16"/>
      <c r="B46" s="3">
        <v>37</v>
      </c>
      <c r="C46" s="1">
        <v>31.258496999999998</v>
      </c>
      <c r="D46" s="1">
        <v>31.316789</v>
      </c>
      <c r="E46" s="2">
        <f t="shared" si="0"/>
        <v>5.8292000000001565E-2</v>
      </c>
      <c r="F46" s="6">
        <v>662.74639999999999</v>
      </c>
      <c r="G46" s="12"/>
      <c r="I46" s="16"/>
      <c r="J46" s="3">
        <v>37</v>
      </c>
      <c r="K46" s="1">
        <v>31.258496999999998</v>
      </c>
      <c r="L46" s="1">
        <v>31.326826000000001</v>
      </c>
      <c r="M46" s="2">
        <f t="shared" si="1"/>
        <v>6.8329000000002083E-2</v>
      </c>
      <c r="N46" s="6">
        <v>662.74639999999999</v>
      </c>
      <c r="O46" s="12"/>
      <c r="Q46" s="16"/>
      <c r="R46" s="3">
        <v>37</v>
      </c>
      <c r="S46" s="1">
        <v>31.258496999999998</v>
      </c>
      <c r="T46" s="1">
        <v>31.359577000000002</v>
      </c>
      <c r="U46" s="2">
        <f t="shared" si="2"/>
        <v>0.10108000000000317</v>
      </c>
      <c r="V46" s="6">
        <v>662.74639999999999</v>
      </c>
      <c r="W46" s="12"/>
      <c r="Y46" s="16"/>
      <c r="Z46" s="3">
        <v>37</v>
      </c>
      <c r="AA46" s="1">
        <v>31.258496999999998</v>
      </c>
      <c r="AB46" s="1">
        <v>31.350881999999999</v>
      </c>
      <c r="AC46" s="2">
        <f t="shared" si="3"/>
        <v>9.2385000000000161E-2</v>
      </c>
      <c r="AD46" s="6">
        <v>662.74639999999999</v>
      </c>
      <c r="AE46" s="12"/>
    </row>
    <row r="47" spans="1:31" x14ac:dyDescent="0.25">
      <c r="A47" s="14" t="s">
        <v>3</v>
      </c>
      <c r="B47" s="3">
        <v>22</v>
      </c>
      <c r="C47" s="1">
        <v>38.326048</v>
      </c>
      <c r="D47" s="1">
        <v>38.196190999999999</v>
      </c>
      <c r="E47" s="2">
        <f t="shared" si="0"/>
        <v>-0.12985700000000122</v>
      </c>
      <c r="F47" s="6">
        <v>1078.4396999999999</v>
      </c>
      <c r="G47" s="12">
        <f>bdrate(F47:F50,C47:C50,F47:F50,D47:D50)</f>
        <v>1.2461978134749474E-2</v>
      </c>
      <c r="I47" s="14" t="s">
        <v>3</v>
      </c>
      <c r="J47" s="3">
        <v>22</v>
      </c>
      <c r="K47" s="1">
        <v>38.326048</v>
      </c>
      <c r="L47" s="1">
        <v>38.253013000000003</v>
      </c>
      <c r="M47" s="2">
        <f t="shared" si="1"/>
        <v>-7.3034999999997297E-2</v>
      </c>
      <c r="N47" s="6">
        <v>1078.4396999999999</v>
      </c>
      <c r="O47" s="12">
        <f t="shared" si="4"/>
        <v>-1.4169508772134298E-2</v>
      </c>
      <c r="Q47" s="23" t="s">
        <v>3</v>
      </c>
      <c r="R47" s="3">
        <v>22</v>
      </c>
      <c r="S47" s="1">
        <v>38.326048</v>
      </c>
      <c r="T47" s="1">
        <v>38.283802999999999</v>
      </c>
      <c r="U47" s="2">
        <f t="shared" si="2"/>
        <v>-4.2245000000001198E-2</v>
      </c>
      <c r="V47" s="6">
        <v>1078.4396999999999</v>
      </c>
      <c r="W47" s="12">
        <f t="shared" si="5"/>
        <v>-3.3022845147493207E-2</v>
      </c>
      <c r="Y47" s="14" t="s">
        <v>3</v>
      </c>
      <c r="Z47" s="3">
        <v>22</v>
      </c>
      <c r="AA47" s="1">
        <v>38.326048</v>
      </c>
      <c r="AB47" s="1">
        <v>38.368067000000003</v>
      </c>
      <c r="AC47" s="2">
        <f t="shared" si="3"/>
        <v>4.2019000000003359E-2</v>
      </c>
      <c r="AD47" s="6">
        <v>1078.4396999999999</v>
      </c>
      <c r="AE47" s="12">
        <f>bdrate(AD47:AD50,AA47:AA50,AD47:AD50,AB47:AB50)</f>
        <v>-5.7301705396528901E-2</v>
      </c>
    </row>
    <row r="48" spans="1:31" x14ac:dyDescent="0.25">
      <c r="A48" s="15"/>
      <c r="B48" s="3">
        <v>27</v>
      </c>
      <c r="C48" s="1">
        <v>34.859856999999998</v>
      </c>
      <c r="D48" s="1">
        <v>34.826839999999997</v>
      </c>
      <c r="E48" s="2">
        <f t="shared" si="0"/>
        <v>-3.3017000000000962E-2</v>
      </c>
      <c r="F48" s="6">
        <v>356.76350000000002</v>
      </c>
      <c r="G48" s="12"/>
      <c r="I48" s="15"/>
      <c r="J48" s="3">
        <v>27</v>
      </c>
      <c r="K48" s="1">
        <v>34.859856999999998</v>
      </c>
      <c r="L48" s="1">
        <v>34.878380999999997</v>
      </c>
      <c r="M48" s="2">
        <f t="shared" si="1"/>
        <v>1.8523999999999319E-2</v>
      </c>
      <c r="N48" s="6">
        <v>356.76350000000002</v>
      </c>
      <c r="O48" s="12"/>
      <c r="Q48" s="21"/>
      <c r="R48" s="3">
        <v>27</v>
      </c>
      <c r="S48" s="1">
        <v>34.859856999999998</v>
      </c>
      <c r="T48" s="1">
        <v>34.907564000000001</v>
      </c>
      <c r="U48" s="2">
        <f t="shared" si="2"/>
        <v>4.7707000000002608E-2</v>
      </c>
      <c r="V48" s="6">
        <v>356.76350000000002</v>
      </c>
      <c r="W48" s="12"/>
      <c r="Y48" s="15"/>
      <c r="Z48" s="3">
        <v>27</v>
      </c>
      <c r="AA48" s="1">
        <v>34.859856999999998</v>
      </c>
      <c r="AB48" s="1">
        <v>34.980018999999999</v>
      </c>
      <c r="AC48" s="2">
        <f t="shared" si="3"/>
        <v>0.12016200000000055</v>
      </c>
      <c r="AD48" s="6">
        <v>356.76350000000002</v>
      </c>
      <c r="AE48" s="12"/>
    </row>
    <row r="49" spans="1:31" x14ac:dyDescent="0.25">
      <c r="A49" s="15"/>
      <c r="B49" s="3">
        <v>32</v>
      </c>
      <c r="C49" s="1">
        <v>32.954554999999999</v>
      </c>
      <c r="D49" s="1">
        <v>32.969163999999999</v>
      </c>
      <c r="E49" s="2">
        <f t="shared" si="0"/>
        <v>1.4609000000000094E-2</v>
      </c>
      <c r="F49" s="6">
        <v>137.61699999999999</v>
      </c>
      <c r="G49" s="12"/>
      <c r="I49" s="15"/>
      <c r="J49" s="3">
        <v>32</v>
      </c>
      <c r="K49" s="1">
        <v>32.954554999999999</v>
      </c>
      <c r="L49" s="1">
        <v>33.031357999999997</v>
      </c>
      <c r="M49" s="2">
        <f t="shared" si="1"/>
        <v>7.6802999999998178E-2</v>
      </c>
      <c r="N49" s="6">
        <v>137.61699999999999</v>
      </c>
      <c r="O49" s="12"/>
      <c r="Q49" s="21"/>
      <c r="R49" s="3">
        <v>32</v>
      </c>
      <c r="S49" s="1">
        <v>32.954554999999999</v>
      </c>
      <c r="T49" s="1">
        <v>33.095905000000002</v>
      </c>
      <c r="U49" s="2">
        <f t="shared" si="2"/>
        <v>0.14135000000000275</v>
      </c>
      <c r="V49" s="6">
        <v>137.61699999999999</v>
      </c>
      <c r="W49" s="12"/>
      <c r="Y49" s="15"/>
      <c r="Z49" s="3">
        <v>32</v>
      </c>
      <c r="AA49" s="1">
        <v>32.954554999999999</v>
      </c>
      <c r="AB49" s="1">
        <v>33.118403999999998</v>
      </c>
      <c r="AC49" s="2">
        <f t="shared" si="3"/>
        <v>0.16384899999999902</v>
      </c>
      <c r="AD49" s="6">
        <v>137.61699999999999</v>
      </c>
      <c r="AE49" s="12"/>
    </row>
    <row r="50" spans="1:31" x14ac:dyDescent="0.25">
      <c r="A50" s="16"/>
      <c r="B50" s="3">
        <v>37</v>
      </c>
      <c r="C50" s="1">
        <v>31.831443</v>
      </c>
      <c r="D50" s="1">
        <v>31.825524999999999</v>
      </c>
      <c r="E50" s="2">
        <f t="shared" si="0"/>
        <v>-5.9180000000012001E-3</v>
      </c>
      <c r="F50" s="6">
        <v>55.680599999999998</v>
      </c>
      <c r="G50" s="12"/>
      <c r="I50" s="16"/>
      <c r="J50" s="3">
        <v>37</v>
      </c>
      <c r="K50" s="1">
        <v>31.831443</v>
      </c>
      <c r="L50" s="1">
        <v>31.905194000000002</v>
      </c>
      <c r="M50" s="2">
        <f t="shared" si="1"/>
        <v>7.3751000000001454E-2</v>
      </c>
      <c r="N50" s="6">
        <v>55.680599999999998</v>
      </c>
      <c r="O50" s="12"/>
      <c r="Q50" s="22"/>
      <c r="R50" s="3">
        <v>37</v>
      </c>
      <c r="S50" s="1">
        <v>31.831443</v>
      </c>
      <c r="T50" s="1">
        <v>31.970186999999999</v>
      </c>
      <c r="U50" s="2">
        <f t="shared" si="2"/>
        <v>0.13874399999999909</v>
      </c>
      <c r="V50" s="6">
        <v>55.680599999999998</v>
      </c>
      <c r="W50" s="12"/>
      <c r="Y50" s="16"/>
      <c r="Z50" s="3">
        <v>37</v>
      </c>
      <c r="AA50" s="1">
        <v>31.831443</v>
      </c>
      <c r="AB50" s="1">
        <v>32.010134999999998</v>
      </c>
      <c r="AC50" s="2">
        <f>AB50-AA50</f>
        <v>0.17869199999999807</v>
      </c>
      <c r="AD50" s="6">
        <v>55.680599999999998</v>
      </c>
      <c r="AE50" s="12"/>
    </row>
    <row r="51" spans="1:31" x14ac:dyDescent="0.25">
      <c r="A51" s="14" t="s">
        <v>18</v>
      </c>
      <c r="B51" s="3">
        <v>22</v>
      </c>
      <c r="C51" s="1">
        <v>38.049844999999998</v>
      </c>
      <c r="D51" s="1">
        <v>37.972020000000001</v>
      </c>
      <c r="E51" s="2">
        <f t="shared" si="0"/>
        <v>-7.7824999999997146E-2</v>
      </c>
      <c r="F51" s="6">
        <v>2129.1831999999999</v>
      </c>
      <c r="G51" s="12">
        <f t="shared" ref="G51" si="26">bdrate(F51:F54,C51:C54,F51:F54,D51:D54)</f>
        <v>6.7391769279758762E-3</v>
      </c>
      <c r="I51" s="14" t="s">
        <v>18</v>
      </c>
      <c r="J51" s="3">
        <v>22</v>
      </c>
      <c r="K51" s="1">
        <v>38.049844999999998</v>
      </c>
      <c r="L51" s="1">
        <v>37.998252999999998</v>
      </c>
      <c r="M51" s="2">
        <f t="shared" si="1"/>
        <v>-5.1591999999999416E-2</v>
      </c>
      <c r="N51" s="6">
        <v>2129.1831999999999</v>
      </c>
      <c r="O51" s="12">
        <f t="shared" ref="O51" si="27">bdrate(N51:N54,K51:K54,N51:N54,L51:L54)</f>
        <v>-1.0004271095723327E-2</v>
      </c>
      <c r="Q51" s="14" t="s">
        <v>18</v>
      </c>
      <c r="R51" s="3">
        <v>22</v>
      </c>
      <c r="S51" s="1">
        <v>38.049844999999998</v>
      </c>
      <c r="T51" s="1">
        <v>38.041511</v>
      </c>
      <c r="U51" s="2">
        <f t="shared" si="2"/>
        <v>-8.3339999999978431E-3</v>
      </c>
      <c r="V51" s="6">
        <v>2129.1831999999999</v>
      </c>
      <c r="W51" s="12">
        <f t="shared" ref="W51" si="28">bdrate(V51:V54,S51:S54,V51:V54,T51:T54)</f>
        <v>-3.1457110417336676E-2</v>
      </c>
      <c r="Y51" s="14" t="s">
        <v>18</v>
      </c>
      <c r="Z51" s="3">
        <v>22</v>
      </c>
      <c r="AA51" s="1">
        <v>38.049844999999998</v>
      </c>
      <c r="AB51" s="1">
        <v>38.078294999999997</v>
      </c>
      <c r="AC51" s="2">
        <f t="shared" ref="AC51:AC53" si="29">AB51-AA51</f>
        <v>2.844999999999942E-2</v>
      </c>
      <c r="AD51" s="6">
        <v>2129.1831999999999</v>
      </c>
      <c r="AE51" s="12">
        <f>bdrate(AD51:AD54,AA51:AA54,AD51:AD54,AB51:AB54)</f>
        <v>-3.8460601531312477E-2</v>
      </c>
    </row>
    <row r="52" spans="1:31" x14ac:dyDescent="0.25">
      <c r="A52" s="15"/>
      <c r="B52" s="3">
        <v>27</v>
      </c>
      <c r="C52" s="1">
        <v>34.656528999999999</v>
      </c>
      <c r="D52" s="1">
        <v>34.607838999999998</v>
      </c>
      <c r="E52" s="2">
        <f t="shared" si="0"/>
        <v>-4.8690000000000566E-2</v>
      </c>
      <c r="F52" s="6">
        <v>831.92719999999997</v>
      </c>
      <c r="G52" s="12"/>
      <c r="I52" s="15"/>
      <c r="J52" s="3">
        <v>27</v>
      </c>
      <c r="K52" s="1">
        <v>34.656528999999999</v>
      </c>
      <c r="L52" s="1">
        <v>34.675548999999997</v>
      </c>
      <c r="M52" s="2">
        <f t="shared" si="1"/>
        <v>1.9019999999997594E-2</v>
      </c>
      <c r="N52" s="6">
        <v>831.92719999999997</v>
      </c>
      <c r="O52" s="12"/>
      <c r="Q52" s="15"/>
      <c r="R52" s="3">
        <v>27</v>
      </c>
      <c r="S52" s="1">
        <v>34.656528999999999</v>
      </c>
      <c r="T52" s="1">
        <v>34.746836000000002</v>
      </c>
      <c r="U52" s="2">
        <f t="shared" si="2"/>
        <v>9.0307000000002802E-2</v>
      </c>
      <c r="V52" s="6">
        <v>831.92719999999997</v>
      </c>
      <c r="W52" s="12"/>
      <c r="Y52" s="15"/>
      <c r="Z52" s="3">
        <v>27</v>
      </c>
      <c r="AA52" s="1">
        <v>34.656528999999999</v>
      </c>
      <c r="AB52" s="1">
        <v>34.757801999999998</v>
      </c>
      <c r="AC52" s="2">
        <f t="shared" si="29"/>
        <v>0.10127299999999906</v>
      </c>
      <c r="AD52" s="6">
        <v>831.92719999999997</v>
      </c>
      <c r="AE52" s="12"/>
    </row>
    <row r="53" spans="1:31" x14ac:dyDescent="0.25">
      <c r="A53" s="15"/>
      <c r="B53" s="3">
        <v>32</v>
      </c>
      <c r="C53" s="1">
        <v>32.411636999999999</v>
      </c>
      <c r="D53" s="1">
        <v>32.436400999999996</v>
      </c>
      <c r="E53" s="2">
        <f t="shared" si="0"/>
        <v>2.4763999999997566E-2</v>
      </c>
      <c r="F53" s="6">
        <v>358.91840000000002</v>
      </c>
      <c r="G53" s="12"/>
      <c r="I53" s="15"/>
      <c r="J53" s="3">
        <v>32</v>
      </c>
      <c r="K53" s="1">
        <v>32.411636999999999</v>
      </c>
      <c r="L53" s="1">
        <v>32.464686</v>
      </c>
      <c r="M53" s="2">
        <f t="shared" si="1"/>
        <v>5.3049000000001456E-2</v>
      </c>
      <c r="N53" s="6">
        <v>358.91840000000002</v>
      </c>
      <c r="O53" s="12"/>
      <c r="Q53" s="15"/>
      <c r="R53" s="3">
        <v>32</v>
      </c>
      <c r="S53" s="1">
        <v>32.411636999999999</v>
      </c>
      <c r="T53" s="1">
        <v>32.519779</v>
      </c>
      <c r="U53" s="2">
        <f t="shared" si="2"/>
        <v>0.10814200000000085</v>
      </c>
      <c r="V53" s="6">
        <v>358.91840000000002</v>
      </c>
      <c r="W53" s="12"/>
      <c r="Y53" s="15"/>
      <c r="Z53" s="3">
        <v>32</v>
      </c>
      <c r="AA53" s="1">
        <v>32.411636999999999</v>
      </c>
      <c r="AB53" s="1">
        <v>32.543868000000003</v>
      </c>
      <c r="AC53" s="2">
        <f t="shared" si="29"/>
        <v>0.13223100000000443</v>
      </c>
      <c r="AD53" s="6">
        <v>358.91840000000002</v>
      </c>
      <c r="AE53" s="12"/>
    </row>
    <row r="54" spans="1:31" x14ac:dyDescent="0.25">
      <c r="A54" s="16"/>
      <c r="B54" s="3">
        <v>37</v>
      </c>
      <c r="C54" s="1">
        <v>31.047965999999999</v>
      </c>
      <c r="D54" s="1">
        <v>31.08962</v>
      </c>
      <c r="E54" s="2">
        <f>D54-C54</f>
        <v>4.165400000000119E-2</v>
      </c>
      <c r="F54" s="6">
        <v>153.9136</v>
      </c>
      <c r="G54" s="12"/>
      <c r="I54" s="16"/>
      <c r="J54" s="3">
        <v>37</v>
      </c>
      <c r="K54" s="1">
        <v>31.047965999999999</v>
      </c>
      <c r="L54" s="1">
        <v>31.108471999999999</v>
      </c>
      <c r="M54" s="2">
        <f>L54-K54</f>
        <v>6.0506000000000171E-2</v>
      </c>
      <c r="N54" s="6">
        <v>153.9136</v>
      </c>
      <c r="O54" s="12"/>
      <c r="Q54" s="16"/>
      <c r="R54" s="3">
        <v>37</v>
      </c>
      <c r="S54" s="1">
        <v>31.047965999999999</v>
      </c>
      <c r="T54" s="1">
        <v>31.14517</v>
      </c>
      <c r="U54" s="2">
        <f>T54-S54</f>
        <v>9.72040000000014E-2</v>
      </c>
      <c r="V54" s="6">
        <v>153.9136</v>
      </c>
      <c r="W54" s="12"/>
      <c r="Y54" s="16"/>
      <c r="Z54" s="3">
        <v>37</v>
      </c>
      <c r="AA54" s="1">
        <v>31.047965999999999</v>
      </c>
      <c r="AB54" s="1">
        <v>31.167172000000001</v>
      </c>
      <c r="AC54" s="2">
        <f>AB54-AA54</f>
        <v>0.11920600000000192</v>
      </c>
      <c r="AD54" s="6">
        <v>153.9136</v>
      </c>
      <c r="AE54" s="12"/>
    </row>
    <row r="55" spans="1:31" x14ac:dyDescent="0.25">
      <c r="A55" s="14" t="s">
        <v>27</v>
      </c>
      <c r="B55" s="3">
        <v>22</v>
      </c>
      <c r="C55" s="1">
        <v>40.745308999999999</v>
      </c>
      <c r="D55" s="1">
        <v>40.732684999999996</v>
      </c>
      <c r="E55" s="2">
        <f t="shared" ref="E55:E57" si="30">D55-C55</f>
        <v>-1.2624000000002411E-2</v>
      </c>
      <c r="F55" s="6">
        <v>1718.5935999999999</v>
      </c>
      <c r="G55" s="12">
        <f t="shared" ref="G55" si="31">bdrate(F55:F58,C55:C58,F55:F58,D55:D58)</f>
        <v>-1.3268556599072889E-2</v>
      </c>
      <c r="I55" s="14" t="s">
        <v>27</v>
      </c>
      <c r="J55" s="3">
        <v>22</v>
      </c>
      <c r="K55" s="1">
        <v>40.745308999999999</v>
      </c>
      <c r="L55" s="1">
        <v>40.791293000000003</v>
      </c>
      <c r="M55" s="2">
        <f t="shared" ref="M55:M57" si="32">L55-K55</f>
        <v>4.5984000000004244E-2</v>
      </c>
      <c r="N55" s="6">
        <v>1718.5935999999999</v>
      </c>
      <c r="O55" s="12">
        <f t="shared" ref="O55" si="33">bdrate(N55:N58,K55:K58,N55:N58,L55:L58)</f>
        <v>-2.0792581490479134E-2</v>
      </c>
      <c r="Q55" s="14" t="s">
        <v>27</v>
      </c>
      <c r="R55" s="3">
        <v>22</v>
      </c>
      <c r="S55" s="1">
        <v>40.745308999999999</v>
      </c>
      <c r="T55" s="1">
        <v>40.866013000000002</v>
      </c>
      <c r="U55" s="2">
        <f t="shared" ref="U55:U57" si="34">T55-S55</f>
        <v>0.12070400000000348</v>
      </c>
      <c r="V55" s="6">
        <v>1718.5935999999999</v>
      </c>
      <c r="W55" s="12">
        <f t="shared" ref="W55" si="35">bdrate(V55:V58,S55:S58,V55:V58,T55:T58)</f>
        <v>-3.9307508445218686E-2</v>
      </c>
      <c r="Y55" s="14" t="s">
        <v>27</v>
      </c>
      <c r="Z55" s="3">
        <v>22</v>
      </c>
      <c r="AA55" s="1">
        <v>40.745308999999999</v>
      </c>
      <c r="AB55" s="1">
        <v>40.895221999999997</v>
      </c>
      <c r="AC55" s="2">
        <f t="shared" ref="AC55:AC57" si="36">AB55-AA55</f>
        <v>0.14991299999999796</v>
      </c>
      <c r="AD55" s="6">
        <v>1718.5935999999999</v>
      </c>
      <c r="AE55" s="12">
        <f>bdrate(AD55:AD58,AA55:AA58,AD55:AD58,AB55:AB58)</f>
        <v>-3.8354952401468689E-2</v>
      </c>
    </row>
    <row r="56" spans="1:31" x14ac:dyDescent="0.25">
      <c r="A56" s="15"/>
      <c r="B56" s="3">
        <v>27</v>
      </c>
      <c r="C56" s="1">
        <v>37.190930999999999</v>
      </c>
      <c r="D56" s="1">
        <v>37.259053000000002</v>
      </c>
      <c r="E56" s="2">
        <f t="shared" si="30"/>
        <v>6.8122000000002458E-2</v>
      </c>
      <c r="F56" s="6">
        <v>826.81759999999997</v>
      </c>
      <c r="G56" s="12"/>
      <c r="I56" s="15"/>
      <c r="J56" s="3">
        <v>27</v>
      </c>
      <c r="K56" s="1">
        <v>37.190930999999999</v>
      </c>
      <c r="L56" s="1">
        <v>37.271650999999999</v>
      </c>
      <c r="M56" s="2">
        <f t="shared" si="32"/>
        <v>8.0719999999999459E-2</v>
      </c>
      <c r="N56" s="6">
        <v>826.81759999999997</v>
      </c>
      <c r="O56" s="12"/>
      <c r="Q56" s="15"/>
      <c r="R56" s="3">
        <v>27</v>
      </c>
      <c r="S56" s="1">
        <v>37.190930999999999</v>
      </c>
      <c r="T56" s="1">
        <v>37.364922</v>
      </c>
      <c r="U56" s="2">
        <f t="shared" si="34"/>
        <v>0.17399100000000089</v>
      </c>
      <c r="V56" s="6">
        <v>826.81759999999997</v>
      </c>
      <c r="W56" s="12"/>
      <c r="Y56" s="15"/>
      <c r="Z56" s="3">
        <v>27</v>
      </c>
      <c r="AA56" s="1">
        <v>37.190930999999999</v>
      </c>
      <c r="AB56" s="1">
        <v>37.302697999999999</v>
      </c>
      <c r="AC56" s="2">
        <f t="shared" si="36"/>
        <v>0.11176700000000039</v>
      </c>
      <c r="AD56" s="6">
        <v>826.81759999999997</v>
      </c>
      <c r="AE56" s="12"/>
    </row>
    <row r="57" spans="1:31" x14ac:dyDescent="0.25">
      <c r="A57" s="15"/>
      <c r="B57" s="3">
        <v>32</v>
      </c>
      <c r="C57" s="1">
        <v>34.728324999999998</v>
      </c>
      <c r="D57" s="1">
        <v>34.764091000000001</v>
      </c>
      <c r="E57" s="2">
        <f t="shared" si="30"/>
        <v>3.5766000000002407E-2</v>
      </c>
      <c r="F57" s="6">
        <v>418.3784</v>
      </c>
      <c r="G57" s="12"/>
      <c r="I57" s="15"/>
      <c r="J57" s="3">
        <v>32</v>
      </c>
      <c r="K57" s="1">
        <v>34.728324999999998</v>
      </c>
      <c r="L57" s="1">
        <v>34.815697999999998</v>
      </c>
      <c r="M57" s="2">
        <f t="shared" si="32"/>
        <v>8.7372999999999479E-2</v>
      </c>
      <c r="N57" s="6">
        <v>418.3784</v>
      </c>
      <c r="O57" s="12"/>
      <c r="Q57" s="15"/>
      <c r="R57" s="3">
        <v>32</v>
      </c>
      <c r="S57" s="1">
        <v>34.728324999999998</v>
      </c>
      <c r="T57" s="1">
        <v>34.863480000000003</v>
      </c>
      <c r="U57" s="2">
        <f t="shared" si="34"/>
        <v>0.13515500000000458</v>
      </c>
      <c r="V57" s="6">
        <v>418.3784</v>
      </c>
      <c r="W57" s="12"/>
      <c r="Y57" s="15"/>
      <c r="Z57" s="3">
        <v>32</v>
      </c>
      <c r="AA57" s="1">
        <v>34.728324999999998</v>
      </c>
      <c r="AB57" s="1">
        <v>34.917923000000002</v>
      </c>
      <c r="AC57" s="2">
        <f t="shared" si="36"/>
        <v>0.18959800000000371</v>
      </c>
      <c r="AD57" s="6">
        <v>418.3784</v>
      </c>
      <c r="AE57" s="12"/>
    </row>
    <row r="58" spans="1:31" x14ac:dyDescent="0.25">
      <c r="A58" s="16"/>
      <c r="B58" s="3">
        <v>37</v>
      </c>
      <c r="C58" s="1">
        <v>32.962758999999998</v>
      </c>
      <c r="D58" s="1">
        <v>33.046959999999999</v>
      </c>
      <c r="E58" s="2">
        <f>D58-C58</f>
        <v>8.4201000000000192E-2</v>
      </c>
      <c r="F58" s="6">
        <v>217.11199999999999</v>
      </c>
      <c r="G58" s="12"/>
      <c r="I58" s="16"/>
      <c r="J58" s="3">
        <v>37</v>
      </c>
      <c r="K58" s="1">
        <v>32.962758999999998</v>
      </c>
      <c r="L58" s="1">
        <v>33.044536000000001</v>
      </c>
      <c r="M58" s="2">
        <f>L58-K58</f>
        <v>8.1777000000002431E-2</v>
      </c>
      <c r="N58" s="6">
        <v>217.11199999999999</v>
      </c>
      <c r="O58" s="12"/>
      <c r="Q58" s="16"/>
      <c r="R58" s="3">
        <v>37</v>
      </c>
      <c r="S58" s="1">
        <v>32.962758999999998</v>
      </c>
      <c r="T58" s="1">
        <v>33.099760000000003</v>
      </c>
      <c r="U58" s="2">
        <f>T58-S58</f>
        <v>0.13700100000000504</v>
      </c>
      <c r="V58" s="6">
        <v>217.11199999999999</v>
      </c>
      <c r="W58" s="12"/>
      <c r="Y58" s="16"/>
      <c r="Z58" s="3">
        <v>37</v>
      </c>
      <c r="AA58" s="1">
        <v>32.962758999999998</v>
      </c>
      <c r="AB58" s="1">
        <v>33.128283000000003</v>
      </c>
      <c r="AC58" s="2">
        <f>AB58-AA58</f>
        <v>0.16552400000000489</v>
      </c>
      <c r="AD58" s="6">
        <v>217.11199999999999</v>
      </c>
      <c r="AE58" s="12"/>
    </row>
    <row r="59" spans="1:31" x14ac:dyDescent="0.25">
      <c r="A59" s="14" t="s">
        <v>17</v>
      </c>
      <c r="B59" s="3">
        <v>22</v>
      </c>
      <c r="C59" s="1">
        <v>39.697128999999997</v>
      </c>
      <c r="D59" s="1">
        <v>39.790004000000003</v>
      </c>
      <c r="E59" s="2">
        <f t="shared" si="0"/>
        <v>9.287500000000648E-2</v>
      </c>
      <c r="F59" s="6">
        <v>1343.7575999999999</v>
      </c>
      <c r="G59" s="12">
        <f t="shared" ref="G59" si="37">bdrate(F59:F62,C59:C62,F59:F62,D59:D62)</f>
        <v>-2.8986079087520711E-2</v>
      </c>
      <c r="I59" s="14" t="s">
        <v>17</v>
      </c>
      <c r="J59" s="3">
        <v>22</v>
      </c>
      <c r="K59" s="1">
        <v>39.697128999999997</v>
      </c>
      <c r="L59" s="1">
        <v>39.818145000000001</v>
      </c>
      <c r="M59" s="2">
        <f t="shared" si="1"/>
        <v>0.12101600000000445</v>
      </c>
      <c r="N59" s="6">
        <v>1343.7575999999999</v>
      </c>
      <c r="O59" s="12">
        <f t="shared" ref="O59" si="38">bdrate(N59:N62,K59:K62,N59:N62,L59:L62)</f>
        <v>-3.4321485850607569E-2</v>
      </c>
      <c r="Q59" s="14" t="s">
        <v>17</v>
      </c>
      <c r="R59" s="3">
        <v>22</v>
      </c>
      <c r="S59" s="1">
        <v>39.697128999999997</v>
      </c>
      <c r="T59" s="1">
        <v>39.877809999999997</v>
      </c>
      <c r="U59" s="2">
        <f t="shared" si="2"/>
        <v>0.18068099999999987</v>
      </c>
      <c r="V59" s="6">
        <v>1343.7575999999999</v>
      </c>
      <c r="W59" s="12">
        <f t="shared" ref="W59" si="39">bdrate(V59:V62,S59:S62,V59:V62,T59:T62)</f>
        <v>-4.9854856456577834E-2</v>
      </c>
      <c r="Y59" s="14" t="s">
        <v>17</v>
      </c>
      <c r="Z59" s="3">
        <v>22</v>
      </c>
      <c r="AA59" s="1">
        <v>39.697128999999997</v>
      </c>
      <c r="AB59" s="1">
        <v>39.933199999999999</v>
      </c>
      <c r="AC59" s="2">
        <f t="shared" si="3"/>
        <v>0.23607100000000258</v>
      </c>
      <c r="AD59" s="6">
        <v>1343.7575999999999</v>
      </c>
      <c r="AE59" s="12">
        <f>bdrate(AD59:AD62,AA59:AA62,AD59:AD62,AB59:AB62)</f>
        <v>-5.2474152147404585E-2</v>
      </c>
    </row>
    <row r="60" spans="1:31" x14ac:dyDescent="0.25">
      <c r="A60" s="15"/>
      <c r="B60" s="3">
        <v>27</v>
      </c>
      <c r="C60" s="1">
        <v>36.048966</v>
      </c>
      <c r="D60" s="1">
        <v>36.171847</v>
      </c>
      <c r="E60" s="2">
        <f t="shared" si="0"/>
        <v>0.12288099999999957</v>
      </c>
      <c r="F60" s="6">
        <v>614.8904</v>
      </c>
      <c r="G60" s="12"/>
      <c r="I60" s="15"/>
      <c r="J60" s="3">
        <v>27</v>
      </c>
      <c r="K60" s="1">
        <v>36.048966</v>
      </c>
      <c r="L60" s="1">
        <v>36.180387000000003</v>
      </c>
      <c r="M60" s="2">
        <f t="shared" si="1"/>
        <v>0.13142100000000312</v>
      </c>
      <c r="N60" s="6">
        <v>614.8904</v>
      </c>
      <c r="O60" s="12"/>
      <c r="Q60" s="15"/>
      <c r="R60" s="3">
        <v>27</v>
      </c>
      <c r="S60" s="1">
        <v>36.048966</v>
      </c>
      <c r="T60" s="1">
        <v>36.254933999999999</v>
      </c>
      <c r="U60" s="2">
        <f t="shared" si="2"/>
        <v>0.2059679999999986</v>
      </c>
      <c r="V60" s="6">
        <v>614.8904</v>
      </c>
      <c r="W60" s="12"/>
      <c r="Y60" s="15"/>
      <c r="Z60" s="3">
        <v>27</v>
      </c>
      <c r="AA60" s="1">
        <v>36.048966</v>
      </c>
      <c r="AB60" s="1">
        <v>36.238911000000002</v>
      </c>
      <c r="AC60" s="2">
        <f t="shared" si="3"/>
        <v>0.18994500000000158</v>
      </c>
      <c r="AD60" s="6">
        <v>614.8904</v>
      </c>
      <c r="AE60" s="12"/>
    </row>
    <row r="61" spans="1:31" x14ac:dyDescent="0.25">
      <c r="A61" s="15"/>
      <c r="B61" s="3">
        <v>32</v>
      </c>
      <c r="C61" s="1">
        <v>33.609796000000003</v>
      </c>
      <c r="D61" s="1">
        <v>33.686371000000001</v>
      </c>
      <c r="E61" s="2">
        <f t="shared" si="0"/>
        <v>7.6574999999998283E-2</v>
      </c>
      <c r="F61" s="6">
        <v>298.25599999999997</v>
      </c>
      <c r="G61" s="12"/>
      <c r="I61" s="15"/>
      <c r="J61" s="3">
        <v>32</v>
      </c>
      <c r="K61" s="1">
        <v>33.609796000000003</v>
      </c>
      <c r="L61" s="1">
        <v>33.718063999999998</v>
      </c>
      <c r="M61" s="2">
        <f t="shared" si="1"/>
        <v>0.10826799999999537</v>
      </c>
      <c r="N61" s="6">
        <v>298.25599999999997</v>
      </c>
      <c r="O61" s="12"/>
      <c r="Q61" s="15"/>
      <c r="R61" s="3">
        <v>32</v>
      </c>
      <c r="S61" s="1">
        <v>33.609796000000003</v>
      </c>
      <c r="T61" s="1">
        <v>33.756410000000002</v>
      </c>
      <c r="U61" s="2">
        <f t="shared" si="2"/>
        <v>0.14661399999999958</v>
      </c>
      <c r="V61" s="6">
        <v>298.25599999999997</v>
      </c>
      <c r="W61" s="12"/>
      <c r="Y61" s="15"/>
      <c r="Z61" s="3">
        <v>32</v>
      </c>
      <c r="AA61" s="1">
        <v>33.609796000000003</v>
      </c>
      <c r="AB61" s="1">
        <v>33.783693999999997</v>
      </c>
      <c r="AC61" s="2">
        <f t="shared" si="3"/>
        <v>0.17389799999999411</v>
      </c>
      <c r="AD61" s="6">
        <v>298.25599999999997</v>
      </c>
      <c r="AE61" s="12"/>
    </row>
    <row r="62" spans="1:31" x14ac:dyDescent="0.25">
      <c r="A62" s="16"/>
      <c r="B62" s="3">
        <v>37</v>
      </c>
      <c r="C62" s="1">
        <v>32.064509000000001</v>
      </c>
      <c r="D62" s="1">
        <v>32.161797999999997</v>
      </c>
      <c r="E62" s="2">
        <f>D62-C62</f>
        <v>9.7288999999996406E-2</v>
      </c>
      <c r="F62" s="6">
        <v>146.852</v>
      </c>
      <c r="G62" s="12"/>
      <c r="I62" s="16"/>
      <c r="J62" s="3">
        <v>37</v>
      </c>
      <c r="K62" s="1">
        <v>32.064509000000001</v>
      </c>
      <c r="L62" s="1">
        <v>32.178305999999999</v>
      </c>
      <c r="M62" s="2">
        <f>L62-K62</f>
        <v>0.11379699999999815</v>
      </c>
      <c r="N62" s="6">
        <v>146.852</v>
      </c>
      <c r="O62" s="12"/>
      <c r="Q62" s="16"/>
      <c r="R62" s="3">
        <v>37</v>
      </c>
      <c r="S62" s="1">
        <v>32.064509000000001</v>
      </c>
      <c r="T62" s="1">
        <v>32.211250999999997</v>
      </c>
      <c r="U62" s="2">
        <f>T62-S62</f>
        <v>0.14674199999999615</v>
      </c>
      <c r="V62" s="6">
        <v>146.852</v>
      </c>
      <c r="W62" s="12"/>
      <c r="Y62" s="16"/>
      <c r="Z62" s="3">
        <v>37</v>
      </c>
      <c r="AA62" s="1">
        <v>32.064509000000001</v>
      </c>
      <c r="AB62" s="1">
        <v>32.230986000000001</v>
      </c>
      <c r="AC62" s="2">
        <f>AB62-AA62</f>
        <v>0.16647700000000043</v>
      </c>
      <c r="AD62" s="6">
        <v>146.852</v>
      </c>
      <c r="AE62" s="12"/>
    </row>
    <row r="63" spans="1:31" x14ac:dyDescent="0.25">
      <c r="A63" s="14" t="s">
        <v>9</v>
      </c>
      <c r="B63" s="3">
        <v>22</v>
      </c>
      <c r="C63" s="1">
        <v>42.755110000000002</v>
      </c>
      <c r="D63" s="1">
        <v>42.679070000000003</v>
      </c>
      <c r="E63" s="2">
        <f t="shared" si="0"/>
        <v>-7.6039999999998997E-2</v>
      </c>
      <c r="F63" s="6">
        <v>1110.3586</v>
      </c>
      <c r="G63" s="12">
        <f>bdrate(F63:F66,C63:C66,F63:F66,D63:D66)</f>
        <v>2.4791630613495874E-2</v>
      </c>
      <c r="I63" s="14" t="s">
        <v>9</v>
      </c>
      <c r="J63" s="3">
        <v>22</v>
      </c>
      <c r="K63" s="1">
        <v>42.755110000000002</v>
      </c>
      <c r="L63" s="1">
        <v>42.720933000000002</v>
      </c>
      <c r="M63" s="2">
        <f t="shared" si="1"/>
        <v>-3.417699999999968E-2</v>
      </c>
      <c r="N63" s="6">
        <v>1110.3586</v>
      </c>
      <c r="O63" s="12">
        <f t="shared" si="4"/>
        <v>-1.1018939014654228E-2</v>
      </c>
      <c r="Q63" s="23" t="s">
        <v>9</v>
      </c>
      <c r="R63" s="3">
        <v>22</v>
      </c>
      <c r="S63" s="1">
        <v>42.755110000000002</v>
      </c>
      <c r="T63" s="1">
        <v>42.677013000000002</v>
      </c>
      <c r="U63" s="2">
        <f t="shared" si="2"/>
        <v>-7.8096999999999639E-2</v>
      </c>
      <c r="V63" s="6">
        <v>1110.3586</v>
      </c>
      <c r="W63" s="12">
        <f t="shared" si="5"/>
        <v>6.0683423064462616E-3</v>
      </c>
      <c r="Y63" s="14" t="s">
        <v>9</v>
      </c>
      <c r="Z63" s="3">
        <v>22</v>
      </c>
      <c r="AA63" s="1">
        <v>42.755110000000002</v>
      </c>
      <c r="AB63" s="1">
        <v>42.650559000000001</v>
      </c>
      <c r="AC63" s="2">
        <f t="shared" si="3"/>
        <v>-0.10455100000000073</v>
      </c>
      <c r="AD63" s="6">
        <v>1110.3586</v>
      </c>
      <c r="AE63" s="12">
        <f>bdrate(AD63:AD66,AA63:AA66,AD63:AD66,AB63:AB66)</f>
        <v>-3.6239681753860942E-2</v>
      </c>
    </row>
    <row r="64" spans="1:31" x14ac:dyDescent="0.25">
      <c r="A64" s="15"/>
      <c r="B64" s="3">
        <v>27</v>
      </c>
      <c r="C64" s="1">
        <v>40.983392000000002</v>
      </c>
      <c r="D64" s="1">
        <v>41.018602000000001</v>
      </c>
      <c r="E64" s="2">
        <f t="shared" si="0"/>
        <v>3.5209999999999297E-2</v>
      </c>
      <c r="F64" s="6">
        <v>310.0951</v>
      </c>
      <c r="G64" s="12"/>
      <c r="I64" s="15"/>
      <c r="J64" s="3">
        <v>27</v>
      </c>
      <c r="K64" s="1">
        <v>40.983392000000002</v>
      </c>
      <c r="L64" s="1">
        <v>40.973987999999999</v>
      </c>
      <c r="M64" s="2">
        <f t="shared" si="1"/>
        <v>-9.4040000000035207E-3</v>
      </c>
      <c r="N64" s="6">
        <v>310.0951</v>
      </c>
      <c r="O64" s="12"/>
      <c r="Q64" s="21"/>
      <c r="R64" s="3">
        <v>27</v>
      </c>
      <c r="S64" s="1">
        <v>40.983392000000002</v>
      </c>
      <c r="T64" s="1">
        <v>40.919446000000001</v>
      </c>
      <c r="U64" s="2">
        <f t="shared" si="2"/>
        <v>-6.3946000000001391E-2</v>
      </c>
      <c r="V64" s="6">
        <v>310.0951</v>
      </c>
      <c r="W64" s="12"/>
      <c r="Y64" s="15"/>
      <c r="Z64" s="3">
        <v>27</v>
      </c>
      <c r="AA64" s="1">
        <v>40.983392000000002</v>
      </c>
      <c r="AB64" s="1">
        <v>41.023632999999997</v>
      </c>
      <c r="AC64" s="2">
        <f t="shared" si="3"/>
        <v>4.0240999999994642E-2</v>
      </c>
      <c r="AD64" s="6">
        <v>310.0951</v>
      </c>
      <c r="AE64" s="12"/>
    </row>
    <row r="65" spans="1:31" x14ac:dyDescent="0.25">
      <c r="A65" s="15"/>
      <c r="B65" s="3">
        <v>32</v>
      </c>
      <c r="C65" s="1">
        <v>39.243965000000003</v>
      </c>
      <c r="D65" s="1">
        <v>39.065002999999997</v>
      </c>
      <c r="E65" s="2">
        <f t="shared" si="0"/>
        <v>-0.17896200000000562</v>
      </c>
      <c r="F65" s="6">
        <v>140.32939999999999</v>
      </c>
      <c r="G65" s="12"/>
      <c r="I65" s="15"/>
      <c r="J65" s="3">
        <v>32</v>
      </c>
      <c r="K65" s="1">
        <v>39.243965000000003</v>
      </c>
      <c r="L65" s="1">
        <v>39.321959999999997</v>
      </c>
      <c r="M65" s="2">
        <f t="shared" si="1"/>
        <v>7.7994999999994263E-2</v>
      </c>
      <c r="N65" s="6">
        <v>140.32939999999999</v>
      </c>
      <c r="O65" s="12"/>
      <c r="Q65" s="21"/>
      <c r="R65" s="3">
        <v>32</v>
      </c>
      <c r="S65" s="1">
        <v>39.243965000000003</v>
      </c>
      <c r="T65" s="1">
        <v>39.303196</v>
      </c>
      <c r="U65" s="2">
        <f t="shared" si="2"/>
        <v>5.9230999999996925E-2</v>
      </c>
      <c r="V65" s="6">
        <v>140.32939999999999</v>
      </c>
      <c r="W65" s="12"/>
      <c r="Y65" s="15"/>
      <c r="Z65" s="3">
        <v>32</v>
      </c>
      <c r="AA65" s="1">
        <v>39.243965000000003</v>
      </c>
      <c r="AB65" s="1">
        <v>39.445540000000001</v>
      </c>
      <c r="AC65" s="2">
        <f t="shared" si="3"/>
        <v>0.20157499999999828</v>
      </c>
      <c r="AD65" s="6">
        <v>140.32939999999999</v>
      </c>
      <c r="AE65" s="12"/>
    </row>
    <row r="66" spans="1:31" ht="15.75" thickBot="1" x14ac:dyDescent="0.3">
      <c r="A66" s="17"/>
      <c r="B66" s="3">
        <v>37</v>
      </c>
      <c r="C66" s="7">
        <v>37.497562000000002</v>
      </c>
      <c r="D66" s="1">
        <v>37.575318000000003</v>
      </c>
      <c r="E66" s="2">
        <f t="shared" si="0"/>
        <v>7.7756000000000824E-2</v>
      </c>
      <c r="F66" s="9">
        <v>75.124700000000004</v>
      </c>
      <c r="G66" s="12"/>
      <c r="I66" s="17"/>
      <c r="J66" s="3">
        <v>37</v>
      </c>
      <c r="K66" s="7">
        <v>37.497562000000002</v>
      </c>
      <c r="L66" s="1">
        <v>37.635967000000001</v>
      </c>
      <c r="M66" s="2">
        <f t="shared" si="1"/>
        <v>0.13840499999999878</v>
      </c>
      <c r="N66" s="9">
        <v>75.124700000000004</v>
      </c>
      <c r="O66" s="12"/>
      <c r="Q66" s="25"/>
      <c r="R66" s="3">
        <v>37</v>
      </c>
      <c r="S66" s="7">
        <v>37.497562000000002</v>
      </c>
      <c r="T66" s="1">
        <v>37.728729999999999</v>
      </c>
      <c r="U66" s="2">
        <f t="shared" si="2"/>
        <v>0.23116799999999671</v>
      </c>
      <c r="V66" s="9">
        <v>75.124700000000004</v>
      </c>
      <c r="W66" s="12"/>
      <c r="Y66" s="17"/>
      <c r="Z66" s="3">
        <v>37</v>
      </c>
      <c r="AA66" s="7">
        <v>37.497562000000002</v>
      </c>
      <c r="AB66" s="7">
        <v>37.696483000000001</v>
      </c>
      <c r="AC66" s="8">
        <f t="shared" si="3"/>
        <v>0.19892099999999857</v>
      </c>
      <c r="AD66" s="9">
        <v>75.124700000000004</v>
      </c>
      <c r="AE66" s="12"/>
    </row>
    <row r="67" spans="1:31" x14ac:dyDescent="0.25">
      <c r="A67" s="14" t="s">
        <v>28</v>
      </c>
      <c r="B67" s="3">
        <v>22</v>
      </c>
      <c r="C67" s="1">
        <v>42.407677</v>
      </c>
      <c r="D67" s="1">
        <v>42.438771000000003</v>
      </c>
      <c r="E67" s="2">
        <f t="shared" ref="E67:E75" si="40">D67-C67</f>
        <v>3.1094000000003064E-2</v>
      </c>
      <c r="F67" s="6">
        <v>2411.3624</v>
      </c>
      <c r="G67" s="12">
        <f t="shared" ref="G67" si="41">bdrate(F67:F70,C67:C70,F67:F70,D67:D70)</f>
        <v>-3.1397751654680506E-2</v>
      </c>
      <c r="I67" s="14" t="s">
        <v>28</v>
      </c>
      <c r="J67" s="3">
        <v>22</v>
      </c>
      <c r="K67" s="1">
        <v>42.407677</v>
      </c>
      <c r="L67" s="1">
        <v>42.436706000000001</v>
      </c>
      <c r="M67" s="2">
        <f t="shared" si="1"/>
        <v>2.9029000000001304E-2</v>
      </c>
      <c r="N67" s="6">
        <v>2411.3624</v>
      </c>
      <c r="O67" s="12">
        <f t="shared" ref="O67" si="42">bdrate(N67:N70,K67:K70,N67:N70,L67:L70)</f>
        <v>-4.7989577697690189E-2</v>
      </c>
      <c r="Q67" s="14" t="s">
        <v>28</v>
      </c>
      <c r="R67" s="3">
        <v>22</v>
      </c>
      <c r="S67" s="1">
        <v>42.407677</v>
      </c>
      <c r="T67" s="1">
        <v>42.439048999999997</v>
      </c>
      <c r="U67" s="2">
        <f t="shared" si="2"/>
        <v>3.1371999999997513E-2</v>
      </c>
      <c r="V67" s="6">
        <v>2411.3624</v>
      </c>
      <c r="W67" s="12">
        <f t="shared" ref="W67" si="43">bdrate(V67:V70,S67:S70,V67:V70,T67:T70)</f>
        <v>-6.4477149236945475E-2</v>
      </c>
      <c r="Y67" s="14" t="s">
        <v>28</v>
      </c>
      <c r="Z67" s="3">
        <v>22</v>
      </c>
      <c r="AA67" s="1">
        <v>42.407677</v>
      </c>
      <c r="AB67" s="1">
        <v>42.496865999999997</v>
      </c>
      <c r="AC67" s="2">
        <f t="shared" ref="AC67:AC69" si="44">AB67-AA67</f>
        <v>8.918899999999752E-2</v>
      </c>
      <c r="AD67" s="6">
        <v>2411.3624</v>
      </c>
      <c r="AE67" s="12">
        <f>bdrate(AD67:AD70,AA67:AA70,AD67:AD70,AB67:AB70)</f>
        <v>-8.7865779440427172E-2</v>
      </c>
    </row>
    <row r="68" spans="1:31" x14ac:dyDescent="0.25">
      <c r="A68" s="15"/>
      <c r="B68" s="3">
        <v>27</v>
      </c>
      <c r="C68" s="1">
        <v>40.210045000000001</v>
      </c>
      <c r="D68" s="1">
        <v>40.313853999999999</v>
      </c>
      <c r="E68" s="2">
        <f t="shared" si="40"/>
        <v>0.10380899999999826</v>
      </c>
      <c r="F68" s="6">
        <v>869.35919999999999</v>
      </c>
      <c r="G68" s="12"/>
      <c r="I68" s="15"/>
      <c r="J68" s="3">
        <v>27</v>
      </c>
      <c r="K68" s="1">
        <v>40.210045000000001</v>
      </c>
      <c r="L68" s="1">
        <v>40.325507000000002</v>
      </c>
      <c r="M68" s="2">
        <f t="shared" si="1"/>
        <v>0.11546200000000084</v>
      </c>
      <c r="N68" s="6">
        <v>869.35919999999999</v>
      </c>
      <c r="O68" s="12"/>
      <c r="Q68" s="15"/>
      <c r="R68" s="3">
        <v>27</v>
      </c>
      <c r="S68" s="1">
        <v>40.210045000000001</v>
      </c>
      <c r="T68" s="1">
        <v>40.366050999999999</v>
      </c>
      <c r="U68" s="2">
        <f t="shared" si="2"/>
        <v>0.15600599999999787</v>
      </c>
      <c r="V68" s="6">
        <v>869.35919999999999</v>
      </c>
      <c r="W68" s="12"/>
      <c r="Y68" s="15"/>
      <c r="Z68" s="3">
        <v>27</v>
      </c>
      <c r="AA68" s="1">
        <v>40.210045000000001</v>
      </c>
      <c r="AB68" s="1">
        <v>40.413732000000003</v>
      </c>
      <c r="AC68" s="2">
        <f t="shared" si="44"/>
        <v>0.20368700000000217</v>
      </c>
      <c r="AD68" s="6">
        <v>869.35919999999999</v>
      </c>
      <c r="AE68" s="12"/>
    </row>
    <row r="69" spans="1:31" x14ac:dyDescent="0.25">
      <c r="A69" s="15"/>
      <c r="B69" s="3">
        <v>32</v>
      </c>
      <c r="C69" s="1">
        <v>37.930039999999998</v>
      </c>
      <c r="D69" s="1">
        <v>38.000410000000002</v>
      </c>
      <c r="E69" s="2">
        <f t="shared" si="40"/>
        <v>7.037000000000404E-2</v>
      </c>
      <c r="F69" s="6">
        <v>427.01119999999997</v>
      </c>
      <c r="G69" s="12"/>
      <c r="I69" s="15"/>
      <c r="J69" s="3">
        <v>32</v>
      </c>
      <c r="K69" s="1">
        <v>37.930039999999998</v>
      </c>
      <c r="L69" s="1">
        <v>38.125649000000003</v>
      </c>
      <c r="M69" s="2">
        <f t="shared" si="1"/>
        <v>0.19560900000000458</v>
      </c>
      <c r="N69" s="6">
        <v>427.01119999999997</v>
      </c>
      <c r="O69" s="12"/>
      <c r="Q69" s="15"/>
      <c r="R69" s="3">
        <v>32</v>
      </c>
      <c r="S69" s="1">
        <v>37.930039999999998</v>
      </c>
      <c r="T69" s="1">
        <v>38.191471999999997</v>
      </c>
      <c r="U69" s="2">
        <f t="shared" si="2"/>
        <v>0.26143199999999922</v>
      </c>
      <c r="V69" s="6">
        <v>427.01119999999997</v>
      </c>
      <c r="W69" s="12"/>
      <c r="Y69" s="15"/>
      <c r="Z69" s="3">
        <v>32</v>
      </c>
      <c r="AA69" s="1">
        <v>37.930039999999998</v>
      </c>
      <c r="AB69" s="1">
        <v>38.29533</v>
      </c>
      <c r="AC69" s="2">
        <f t="shared" si="44"/>
        <v>0.36529000000000167</v>
      </c>
      <c r="AD69" s="6">
        <v>427.01119999999997</v>
      </c>
      <c r="AE69" s="12"/>
    </row>
    <row r="70" spans="1:31" x14ac:dyDescent="0.25">
      <c r="A70" s="16"/>
      <c r="B70" s="3">
        <v>37</v>
      </c>
      <c r="C70" s="1">
        <v>35.783710999999997</v>
      </c>
      <c r="D70" s="1">
        <v>35.986190999999998</v>
      </c>
      <c r="E70" s="2">
        <f>D70-C70</f>
        <v>0.20248000000000133</v>
      </c>
      <c r="F70" s="6">
        <v>226.34559999999999</v>
      </c>
      <c r="G70" s="12"/>
      <c r="I70" s="16"/>
      <c r="J70" s="3">
        <v>37</v>
      </c>
      <c r="K70" s="1">
        <v>35.783710999999997</v>
      </c>
      <c r="L70" s="1">
        <v>36.024987000000003</v>
      </c>
      <c r="M70" s="2">
        <f>L70-K70</f>
        <v>0.24127600000000626</v>
      </c>
      <c r="N70" s="6">
        <v>226.34559999999999</v>
      </c>
      <c r="O70" s="12"/>
      <c r="Q70" s="16"/>
      <c r="R70" s="3">
        <v>37</v>
      </c>
      <c r="S70" s="1">
        <v>35.783710999999997</v>
      </c>
      <c r="T70" s="1">
        <v>36.136383000000002</v>
      </c>
      <c r="U70" s="2">
        <f>T70-S70</f>
        <v>0.35267200000000543</v>
      </c>
      <c r="V70" s="6">
        <v>226.34559999999999</v>
      </c>
      <c r="W70" s="12"/>
      <c r="Y70" s="16"/>
      <c r="Z70" s="3">
        <v>37</v>
      </c>
      <c r="AA70" s="1">
        <v>35.783710999999997</v>
      </c>
      <c r="AB70" s="1">
        <v>36.196030999999998</v>
      </c>
      <c r="AC70" s="2">
        <f>AB70-AA70</f>
        <v>0.41232000000000113</v>
      </c>
      <c r="AD70" s="6">
        <v>226.34559999999999</v>
      </c>
      <c r="AE70" s="12"/>
    </row>
    <row r="71" spans="1:31" x14ac:dyDescent="0.25">
      <c r="A71" s="14" t="s">
        <v>29</v>
      </c>
      <c r="B71" s="3">
        <v>22</v>
      </c>
      <c r="C71" s="1">
        <v>43.149239000000001</v>
      </c>
      <c r="D71" s="1">
        <v>43.088712000000001</v>
      </c>
      <c r="E71" s="2">
        <f t="shared" ref="E71:E73" si="45">D71-C71</f>
        <v>-6.0527000000000442E-2</v>
      </c>
      <c r="F71" s="6">
        <v>2174.0351999999998</v>
      </c>
      <c r="G71" s="12">
        <f t="shared" ref="G71" si="46">bdrate(F71:F74,C71:C74,F71:F74,D71:D74)</f>
        <v>-1.3006350004533429E-2</v>
      </c>
      <c r="I71" s="14" t="s">
        <v>29</v>
      </c>
      <c r="J71" s="3">
        <v>22</v>
      </c>
      <c r="K71" s="1">
        <v>43.149239000000001</v>
      </c>
      <c r="L71" s="1">
        <v>43.064889000000001</v>
      </c>
      <c r="M71" s="2">
        <f t="shared" ref="M71:M73" si="47">L71-K71</f>
        <v>-8.4350000000000591E-2</v>
      </c>
      <c r="N71" s="6">
        <v>2174.0351999999998</v>
      </c>
      <c r="O71" s="12">
        <f t="shared" ref="O71" si="48">bdrate(N71:N74,K71:K74,N71:N74,L71:L74)</f>
        <v>-3.1859437861668893E-2</v>
      </c>
      <c r="Q71" s="14" t="s">
        <v>29</v>
      </c>
      <c r="R71" s="3">
        <v>22</v>
      </c>
      <c r="S71" s="1">
        <v>43.149239000000001</v>
      </c>
      <c r="T71" s="1">
        <v>43.040667999999997</v>
      </c>
      <c r="U71" s="2">
        <f t="shared" ref="U71:U73" si="49">T71-S71</f>
        <v>-0.10857100000000486</v>
      </c>
      <c r="V71" s="6">
        <v>2174.0351999999998</v>
      </c>
      <c r="W71" s="12">
        <f t="shared" ref="W71" si="50">bdrate(V71:V74,S71:S74,V71:V74,T71:T74)</f>
        <v>-3.8993601270969291E-2</v>
      </c>
      <c r="Y71" s="14" t="s">
        <v>29</v>
      </c>
      <c r="Z71" s="3">
        <v>22</v>
      </c>
      <c r="AA71" s="1">
        <v>43.149239000000001</v>
      </c>
      <c r="AB71" s="1">
        <v>43.092433999999997</v>
      </c>
      <c r="AC71" s="2">
        <f t="shared" ref="AC71:AC73" si="51">AB71-AA71</f>
        <v>-5.6805000000004213E-2</v>
      </c>
      <c r="AD71" s="6">
        <v>2174.0351999999998</v>
      </c>
      <c r="AE71" s="12">
        <f>bdrate(AD71:AD74,AA71:AA74,AD71:AD74,AB71:AB74)</f>
        <v>-6.3581997582259464E-2</v>
      </c>
    </row>
    <row r="72" spans="1:31" x14ac:dyDescent="0.25">
      <c r="A72" s="15"/>
      <c r="B72" s="3">
        <v>27</v>
      </c>
      <c r="C72" s="1">
        <v>41.106603999999997</v>
      </c>
      <c r="D72" s="1">
        <v>41.190810999999997</v>
      </c>
      <c r="E72" s="2">
        <f t="shared" si="45"/>
        <v>8.4206999999999255E-2</v>
      </c>
      <c r="F72" s="6">
        <v>716.80960000000005</v>
      </c>
      <c r="G72" s="12"/>
      <c r="I72" s="15"/>
      <c r="J72" s="3">
        <v>27</v>
      </c>
      <c r="K72" s="1">
        <v>41.106603999999997</v>
      </c>
      <c r="L72" s="1">
        <v>41.163606999999999</v>
      </c>
      <c r="M72" s="2">
        <f t="shared" si="47"/>
        <v>5.7003000000001691E-2</v>
      </c>
      <c r="N72" s="6">
        <v>716.80960000000005</v>
      </c>
      <c r="O72" s="12"/>
      <c r="Q72" s="15"/>
      <c r="R72" s="3">
        <v>27</v>
      </c>
      <c r="S72" s="1">
        <v>41.106603999999997</v>
      </c>
      <c r="T72" s="1">
        <v>41.168532999999996</v>
      </c>
      <c r="U72" s="2">
        <f t="shared" si="49"/>
        <v>6.1928999999999235E-2</v>
      </c>
      <c r="V72" s="6">
        <v>716.80960000000005</v>
      </c>
      <c r="W72" s="12"/>
      <c r="Y72" s="15"/>
      <c r="Z72" s="3">
        <v>27</v>
      </c>
      <c r="AA72" s="1">
        <v>41.106603999999997</v>
      </c>
      <c r="AB72" s="1">
        <v>41.212584</v>
      </c>
      <c r="AC72" s="2">
        <f t="shared" si="51"/>
        <v>0.10598000000000241</v>
      </c>
      <c r="AD72" s="6">
        <v>716.80960000000005</v>
      </c>
      <c r="AE72" s="12"/>
    </row>
    <row r="73" spans="1:31" x14ac:dyDescent="0.25">
      <c r="A73" s="15"/>
      <c r="B73" s="3">
        <v>32</v>
      </c>
      <c r="C73" s="1">
        <v>39.018914000000002</v>
      </c>
      <c r="D73" s="1">
        <v>38.995683999999997</v>
      </c>
      <c r="E73" s="2">
        <f t="shared" si="45"/>
        <v>-2.3230000000005191E-2</v>
      </c>
      <c r="F73" s="6">
        <v>324.61599999999999</v>
      </c>
      <c r="G73" s="12"/>
      <c r="I73" s="15"/>
      <c r="J73" s="3">
        <v>32</v>
      </c>
      <c r="K73" s="1">
        <v>39.018914000000002</v>
      </c>
      <c r="L73" s="1">
        <v>39.174284</v>
      </c>
      <c r="M73" s="2">
        <f t="shared" si="47"/>
        <v>0.15536999999999779</v>
      </c>
      <c r="N73" s="6">
        <v>324.61599999999999</v>
      </c>
      <c r="O73" s="12"/>
      <c r="Q73" s="15"/>
      <c r="R73" s="3">
        <v>32</v>
      </c>
      <c r="S73" s="1">
        <v>39.018914000000002</v>
      </c>
      <c r="T73" s="1">
        <v>39.21134</v>
      </c>
      <c r="U73" s="2">
        <f t="shared" si="49"/>
        <v>0.19242599999999754</v>
      </c>
      <c r="V73" s="6">
        <v>324.61599999999999</v>
      </c>
      <c r="W73" s="12"/>
      <c r="Y73" s="15"/>
      <c r="Z73" s="3">
        <v>32</v>
      </c>
      <c r="AA73" s="1">
        <v>39.018914000000002</v>
      </c>
      <c r="AB73" s="1">
        <v>39.309472999999997</v>
      </c>
      <c r="AC73" s="2">
        <f t="shared" si="51"/>
        <v>0.29055899999999468</v>
      </c>
      <c r="AD73" s="6">
        <v>324.61599999999999</v>
      </c>
      <c r="AE73" s="12"/>
    </row>
    <row r="74" spans="1:31" ht="15.75" thickBot="1" x14ac:dyDescent="0.3">
      <c r="A74" s="16"/>
      <c r="B74" s="3">
        <v>37</v>
      </c>
      <c r="C74" s="1">
        <v>36.988683000000002</v>
      </c>
      <c r="D74" s="1">
        <v>37.166519999999998</v>
      </c>
      <c r="E74" s="2">
        <f>D74-C74</f>
        <v>0.17783699999999669</v>
      </c>
      <c r="F74" s="6">
        <v>167.34559999999999</v>
      </c>
      <c r="G74" s="12"/>
      <c r="I74" s="16"/>
      <c r="J74" s="3">
        <v>37</v>
      </c>
      <c r="K74" s="1">
        <v>36.988683000000002</v>
      </c>
      <c r="L74" s="1">
        <v>37.210383999999998</v>
      </c>
      <c r="M74" s="2">
        <f>L74-K74</f>
        <v>0.22170099999999593</v>
      </c>
      <c r="N74" s="6">
        <v>167.34559999999999</v>
      </c>
      <c r="O74" s="12"/>
      <c r="Q74" s="16"/>
      <c r="R74" s="3">
        <v>37</v>
      </c>
      <c r="S74" s="1">
        <v>36.988683000000002</v>
      </c>
      <c r="T74" s="1">
        <v>37.304842000000001</v>
      </c>
      <c r="U74" s="2">
        <f>T74-S74</f>
        <v>0.31615899999999897</v>
      </c>
      <c r="V74" s="6">
        <v>167.34559999999999</v>
      </c>
      <c r="W74" s="12"/>
      <c r="Y74" s="16"/>
      <c r="Z74" s="3">
        <v>37</v>
      </c>
      <c r="AA74" s="1">
        <v>36.988683000000002</v>
      </c>
      <c r="AB74" s="1">
        <v>37.325429999999997</v>
      </c>
      <c r="AC74" s="2">
        <f>AB74-AA74</f>
        <v>0.33674699999999547</v>
      </c>
      <c r="AD74" s="6">
        <v>167.34559999999999</v>
      </c>
      <c r="AE74" s="12"/>
    </row>
    <row r="75" spans="1:31" ht="15.75" thickBot="1" x14ac:dyDescent="0.3">
      <c r="A75" s="11" t="s">
        <v>12</v>
      </c>
      <c r="B75" s="10"/>
      <c r="C75" s="10"/>
      <c r="D75" s="10"/>
      <c r="E75" s="2">
        <f xml:space="preserve"> AVERAGE(E3:E66)</f>
        <v>2.9277015625000513E-2</v>
      </c>
      <c r="F75" s="10"/>
      <c r="G75" s="13">
        <f>AVERAGE(G3,G7,G11,G15,G19,G23,G27,G31,G35,G39,G43,G47,G51,G55,G59,G63,G67,G71)</f>
        <v>-1.0958571340925637E-2</v>
      </c>
      <c r="I75" s="11" t="s">
        <v>12</v>
      </c>
      <c r="J75" s="10"/>
      <c r="K75" s="10"/>
      <c r="L75" s="10"/>
      <c r="M75" s="2">
        <f xml:space="preserve"> AVERAGE(M3:M66)</f>
        <v>6.5394281250000019E-2</v>
      </c>
      <c r="N75" s="10"/>
      <c r="O75" s="13">
        <f>AVERAGE(O3,O7,O11,O15,O19,O23,O27,O31,O35,O39,O43,O47,O51,O55,O59,O63,O67,O71)</f>
        <v>-2.602313748375247E-2</v>
      </c>
      <c r="Q75" s="11" t="s">
        <v>12</v>
      </c>
      <c r="R75" s="10"/>
      <c r="S75" s="10"/>
      <c r="T75" s="10"/>
      <c r="U75" s="2">
        <f xml:space="preserve"> AVERAGE(U3:U66)</f>
        <v>0.10467828125000012</v>
      </c>
      <c r="V75" s="10"/>
      <c r="W75" s="13">
        <f>AVERAGE(W3,W7,W11,W15,W19,W23,W27,W31,W35,W39,W43,W47,W51,W55,W59,W63,W67,W71)</f>
        <v>-3.9390919014913234E-2</v>
      </c>
      <c r="Y75" s="11" t="s">
        <v>12</v>
      </c>
      <c r="Z75" s="10"/>
      <c r="AA75" s="10"/>
      <c r="AB75" s="10"/>
      <c r="AC75" s="2">
        <f xml:space="preserve"> AVERAGE(AC3:AC66)</f>
        <v>0.13182753124999996</v>
      </c>
      <c r="AD75" s="10"/>
      <c r="AE75" s="13">
        <f>AVERAGE(AE3,AE7,AE11,AE15,AE19,AE23,AE27,AE31,AE35,AE39,AE43,AE47,AE51,AE55,AE59,AE63,AE67,AE71)</f>
        <v>-5.2340912903434893E-2</v>
      </c>
    </row>
    <row r="76" spans="1:31" s="29" customFormat="1" x14ac:dyDescent="0.25"/>
    <row r="77" spans="1:31" s="29" customFormat="1" ht="15.75" thickBot="1" x14ac:dyDescent="0.3"/>
    <row r="78" spans="1:31" ht="15.75" thickBot="1" x14ac:dyDescent="0.3">
      <c r="A78" s="18" t="s">
        <v>30</v>
      </c>
      <c r="B78" s="19"/>
      <c r="C78" s="19"/>
      <c r="D78" s="19"/>
      <c r="E78" s="19"/>
      <c r="F78" s="19"/>
      <c r="G78" s="19"/>
      <c r="I78" s="18" t="s">
        <v>31</v>
      </c>
      <c r="J78" s="19"/>
      <c r="K78" s="19"/>
      <c r="L78" s="19"/>
      <c r="M78" s="19"/>
      <c r="N78" s="19"/>
      <c r="O78" s="19"/>
    </row>
    <row r="79" spans="1:31" ht="15.75" thickBot="1" x14ac:dyDescent="0.3">
      <c r="A79" s="5" t="s">
        <v>0</v>
      </c>
      <c r="B79" s="4" t="s">
        <v>1</v>
      </c>
      <c r="C79" s="4" t="s">
        <v>10</v>
      </c>
      <c r="D79" s="5" t="s">
        <v>2</v>
      </c>
      <c r="E79" s="4" t="s">
        <v>4</v>
      </c>
      <c r="F79" s="26" t="s">
        <v>11</v>
      </c>
      <c r="G79" s="27" t="s">
        <v>5</v>
      </c>
      <c r="I79" s="5" t="s">
        <v>0</v>
      </c>
      <c r="J79" s="4" t="s">
        <v>1</v>
      </c>
      <c r="K79" s="4" t="s">
        <v>10</v>
      </c>
      <c r="L79" s="5" t="s">
        <v>2</v>
      </c>
      <c r="M79" s="4" t="s">
        <v>4</v>
      </c>
      <c r="N79" s="26" t="s">
        <v>11</v>
      </c>
      <c r="O79" s="27" t="s">
        <v>5</v>
      </c>
    </row>
    <row r="80" spans="1:31" x14ac:dyDescent="0.25">
      <c r="A80" s="15" t="s">
        <v>7</v>
      </c>
      <c r="B80" s="3">
        <v>22</v>
      </c>
      <c r="C80" s="1">
        <v>41.591728000000003</v>
      </c>
      <c r="D80" s="1">
        <v>41.675711999999997</v>
      </c>
      <c r="E80" s="2">
        <f t="shared" ref="E80:E143" si="52">D80-C80</f>
        <v>8.3983999999993841E-2</v>
      </c>
      <c r="F80" s="6">
        <v>13266.992899999999</v>
      </c>
      <c r="G80" s="12">
        <f>bdrate(F80:F83,C80:C83,F80:F83,D80:D83)</f>
        <v>-7.4428059873659413E-2</v>
      </c>
      <c r="I80" s="15" t="s">
        <v>7</v>
      </c>
      <c r="J80" s="3">
        <v>22</v>
      </c>
      <c r="K80" s="1">
        <v>41.591728000000003</v>
      </c>
      <c r="L80" s="1">
        <v>41.689031999999997</v>
      </c>
      <c r="M80" s="2">
        <f t="shared" ref="M80:M143" si="53">L80-K80</f>
        <v>9.7303999999994062E-2</v>
      </c>
      <c r="N80" s="6">
        <v>13266.992899999999</v>
      </c>
      <c r="O80" s="12">
        <f>bdrate(N80:N83,K80:K83,N80:N83,L80:L83)</f>
        <v>-7.7452387345508855E-2</v>
      </c>
    </row>
    <row r="81" spans="1:15" x14ac:dyDescent="0.25">
      <c r="A81" s="15"/>
      <c r="B81" s="3">
        <v>27</v>
      </c>
      <c r="C81" s="1">
        <v>38.899337000000003</v>
      </c>
      <c r="D81" s="1">
        <v>39.090719999999997</v>
      </c>
      <c r="E81" s="2">
        <f t="shared" si="52"/>
        <v>0.19138299999999475</v>
      </c>
      <c r="F81" s="6">
        <v>4558.9458999999997</v>
      </c>
      <c r="G81" s="12"/>
      <c r="I81" s="15"/>
      <c r="J81" s="3">
        <v>27</v>
      </c>
      <c r="K81" s="1">
        <v>38.899337000000003</v>
      </c>
      <c r="L81" s="1">
        <v>39.113864999999997</v>
      </c>
      <c r="M81" s="2">
        <f t="shared" si="53"/>
        <v>0.21452799999999428</v>
      </c>
      <c r="N81" s="6">
        <v>4558.9458999999997</v>
      </c>
      <c r="O81" s="12"/>
    </row>
    <row r="82" spans="1:15" x14ac:dyDescent="0.25">
      <c r="A82" s="15"/>
      <c r="B82" s="3">
        <v>32</v>
      </c>
      <c r="C82" s="1">
        <v>36.617277000000001</v>
      </c>
      <c r="D82" s="1">
        <v>36.885697999999998</v>
      </c>
      <c r="E82" s="2">
        <f t="shared" si="52"/>
        <v>0.26842099999999647</v>
      </c>
      <c r="F82" s="6">
        <v>2000.6024</v>
      </c>
      <c r="G82" s="12"/>
      <c r="I82" s="15"/>
      <c r="J82" s="3">
        <v>32</v>
      </c>
      <c r="K82" s="1">
        <v>36.617277000000001</v>
      </c>
      <c r="L82" s="1">
        <v>36.88165</v>
      </c>
      <c r="M82" s="2">
        <f t="shared" si="53"/>
        <v>0.26437299999999908</v>
      </c>
      <c r="N82" s="6">
        <v>2000.6024</v>
      </c>
      <c r="O82" s="12"/>
    </row>
    <row r="83" spans="1:15" ht="15.75" thickBot="1" x14ac:dyDescent="0.3">
      <c r="A83" s="16"/>
      <c r="B83" s="3">
        <v>37</v>
      </c>
      <c r="C83" s="1">
        <v>34.547825000000003</v>
      </c>
      <c r="D83" s="1">
        <v>34.826117000000004</v>
      </c>
      <c r="E83" s="2">
        <f t="shared" si="52"/>
        <v>0.27829200000000043</v>
      </c>
      <c r="F83" s="6">
        <v>980.52520000000004</v>
      </c>
      <c r="G83" s="12"/>
      <c r="I83" s="16"/>
      <c r="J83" s="3">
        <v>37</v>
      </c>
      <c r="K83" s="1">
        <v>34.547825000000003</v>
      </c>
      <c r="L83" s="1">
        <v>34.805163999999998</v>
      </c>
      <c r="M83" s="2">
        <f t="shared" si="53"/>
        <v>0.25733899999999466</v>
      </c>
      <c r="N83" s="6">
        <v>980.52520000000004</v>
      </c>
      <c r="O83" s="12"/>
    </row>
    <row r="84" spans="1:15" x14ac:dyDescent="0.25">
      <c r="A84" s="24" t="s">
        <v>19</v>
      </c>
      <c r="B84" s="3">
        <v>22</v>
      </c>
      <c r="C84" s="1">
        <v>40.690674999999999</v>
      </c>
      <c r="D84" s="1">
        <v>40.890082</v>
      </c>
      <c r="E84" s="2">
        <f t="shared" si="52"/>
        <v>0.19940700000000078</v>
      </c>
      <c r="F84" s="6">
        <v>38581.487099999998</v>
      </c>
      <c r="G84" s="12">
        <f>bdrate(F84:F87,C84:C87,F84:F87,D84:D87)</f>
        <v>-7.9463716156903508E-2</v>
      </c>
      <c r="I84" s="24" t="s">
        <v>19</v>
      </c>
      <c r="J84" s="3">
        <v>22</v>
      </c>
      <c r="K84" s="1">
        <v>40.690674999999999</v>
      </c>
      <c r="L84" s="1">
        <v>40.897837000000003</v>
      </c>
      <c r="M84" s="2">
        <f t="shared" si="53"/>
        <v>0.20716200000000384</v>
      </c>
      <c r="N84" s="6">
        <v>38581.487099999998</v>
      </c>
      <c r="O84" s="12">
        <f>bdrate(N84:N87,K84:K87,N84:N87,L84:L87)</f>
        <v>-7.9394079956481511E-2</v>
      </c>
    </row>
    <row r="85" spans="1:15" x14ac:dyDescent="0.25">
      <c r="A85" s="15"/>
      <c r="B85" s="3">
        <v>27</v>
      </c>
      <c r="C85" s="1">
        <v>37.53593</v>
      </c>
      <c r="D85" s="1">
        <v>37.843283</v>
      </c>
      <c r="E85" s="2">
        <f t="shared" si="52"/>
        <v>0.3073529999999991</v>
      </c>
      <c r="F85" s="6">
        <v>16809.919999999998</v>
      </c>
      <c r="G85" s="12"/>
      <c r="I85" s="15"/>
      <c r="J85" s="3">
        <v>27</v>
      </c>
      <c r="K85" s="1">
        <v>37.53593</v>
      </c>
      <c r="L85" s="1">
        <v>37.8521</v>
      </c>
      <c r="M85" s="2">
        <f t="shared" si="53"/>
        <v>0.31616999999999962</v>
      </c>
      <c r="N85" s="6">
        <v>16809.919999999998</v>
      </c>
      <c r="O85" s="12"/>
    </row>
    <row r="86" spans="1:15" x14ac:dyDescent="0.25">
      <c r="A86" s="15"/>
      <c r="B86" s="3">
        <v>32</v>
      </c>
      <c r="C86" s="1">
        <v>35.270783999999999</v>
      </c>
      <c r="D86" s="1">
        <v>35.566383000000002</v>
      </c>
      <c r="E86" s="2">
        <f t="shared" si="52"/>
        <v>0.29559900000000283</v>
      </c>
      <c r="F86" s="6">
        <v>8891.7646999999997</v>
      </c>
      <c r="G86" s="12"/>
      <c r="I86" s="15"/>
      <c r="J86" s="3">
        <v>32</v>
      </c>
      <c r="K86" s="1">
        <v>35.270783999999999</v>
      </c>
      <c r="L86" s="1">
        <v>35.551808000000001</v>
      </c>
      <c r="M86" s="2">
        <f t="shared" si="53"/>
        <v>0.28102400000000216</v>
      </c>
      <c r="N86" s="6">
        <v>8891.7646999999997</v>
      </c>
      <c r="O86" s="12"/>
    </row>
    <row r="87" spans="1:15" x14ac:dyDescent="0.25">
      <c r="A87" s="16"/>
      <c r="B87" s="3">
        <v>37</v>
      </c>
      <c r="C87" s="1">
        <v>33.619092999999999</v>
      </c>
      <c r="D87" s="1">
        <v>33.934111999999999</v>
      </c>
      <c r="E87" s="2">
        <f t="shared" si="52"/>
        <v>0.31501899999999949</v>
      </c>
      <c r="F87" s="6">
        <v>5102.9552999999996</v>
      </c>
      <c r="G87" s="12"/>
      <c r="I87" s="16"/>
      <c r="J87" s="3">
        <v>37</v>
      </c>
      <c r="K87" s="1">
        <v>33.619092999999999</v>
      </c>
      <c r="L87" s="1">
        <v>33.924470999999997</v>
      </c>
      <c r="M87" s="2">
        <f t="shared" si="53"/>
        <v>0.30537799999999748</v>
      </c>
      <c r="N87" s="6">
        <v>5102.9552999999996</v>
      </c>
      <c r="O87" s="12"/>
    </row>
    <row r="88" spans="1:15" x14ac:dyDescent="0.25">
      <c r="A88" s="15" t="s">
        <v>6</v>
      </c>
      <c r="B88" s="3">
        <v>22</v>
      </c>
      <c r="C88" s="1">
        <v>38.925669999999997</v>
      </c>
      <c r="D88" s="1">
        <v>38.838031000000001</v>
      </c>
      <c r="E88" s="2">
        <f t="shared" si="52"/>
        <v>-8.7638999999995804E-2</v>
      </c>
      <c r="F88" s="6">
        <v>25377.8259</v>
      </c>
      <c r="G88" s="12">
        <f>bdrate(F88:F91,C88:C91,F88:F91,D88:D91)</f>
        <v>-6.2859282223673429E-2</v>
      </c>
      <c r="I88" s="15" t="s">
        <v>6</v>
      </c>
      <c r="J88" s="3">
        <v>22</v>
      </c>
      <c r="K88" s="1">
        <v>38.925669999999997</v>
      </c>
      <c r="L88" s="1">
        <v>38.861026000000003</v>
      </c>
      <c r="M88" s="2">
        <f t="shared" si="53"/>
        <v>-6.4643999999994151E-2</v>
      </c>
      <c r="N88" s="6">
        <v>25377.8259</v>
      </c>
      <c r="O88" s="12">
        <f>bdrate(N88:N91,K88:K91,N88:N91,L88:L91)</f>
        <v>-7.1742863926333778E-2</v>
      </c>
    </row>
    <row r="89" spans="1:15" x14ac:dyDescent="0.25">
      <c r="A89" s="15"/>
      <c r="B89" s="3">
        <v>27</v>
      </c>
      <c r="C89" s="1">
        <v>35.782541999999999</v>
      </c>
      <c r="D89" s="1">
        <v>35.889071000000001</v>
      </c>
      <c r="E89" s="2">
        <f t="shared" si="52"/>
        <v>0.10652900000000187</v>
      </c>
      <c r="F89" s="6">
        <v>5347.8888999999999</v>
      </c>
      <c r="G89" s="12"/>
      <c r="I89" s="15"/>
      <c r="J89" s="3">
        <v>27</v>
      </c>
      <c r="K89" s="1">
        <v>35.782541999999999</v>
      </c>
      <c r="L89" s="1">
        <v>35.900022</v>
      </c>
      <c r="M89" s="2">
        <f t="shared" si="53"/>
        <v>0.11748000000000047</v>
      </c>
      <c r="N89" s="6">
        <v>5347.8888999999999</v>
      </c>
      <c r="O89" s="12"/>
    </row>
    <row r="90" spans="1:15" x14ac:dyDescent="0.25">
      <c r="A90" s="15"/>
      <c r="B90" s="3">
        <v>32</v>
      </c>
      <c r="C90" s="1">
        <v>34.444141000000002</v>
      </c>
      <c r="D90" s="1">
        <v>34.574900999999997</v>
      </c>
      <c r="E90" s="2">
        <f t="shared" si="52"/>
        <v>0.1307599999999951</v>
      </c>
      <c r="F90" s="6">
        <v>1511.2094</v>
      </c>
      <c r="G90" s="12"/>
      <c r="I90" s="15"/>
      <c r="J90" s="3">
        <v>32</v>
      </c>
      <c r="K90" s="1">
        <v>34.444141000000002</v>
      </c>
      <c r="L90" s="1">
        <v>34.602277999999998</v>
      </c>
      <c r="M90" s="2">
        <f t="shared" si="53"/>
        <v>0.15813699999999642</v>
      </c>
      <c r="N90" s="6">
        <v>1511.2094</v>
      </c>
      <c r="O90" s="12"/>
    </row>
    <row r="91" spans="1:15" x14ac:dyDescent="0.25">
      <c r="A91" s="16"/>
      <c r="B91" s="3">
        <v>37</v>
      </c>
      <c r="C91" s="1">
        <v>33.304972999999997</v>
      </c>
      <c r="D91" s="1">
        <v>33.430062999999997</v>
      </c>
      <c r="E91" s="2">
        <f t="shared" si="52"/>
        <v>0.12509000000000015</v>
      </c>
      <c r="F91" s="6">
        <v>576.7944</v>
      </c>
      <c r="G91" s="12"/>
      <c r="I91" s="16"/>
      <c r="J91" s="3">
        <v>37</v>
      </c>
      <c r="K91" s="1">
        <v>33.304972999999997</v>
      </c>
      <c r="L91" s="1">
        <v>33.425007000000001</v>
      </c>
      <c r="M91" s="2">
        <f t="shared" si="53"/>
        <v>0.12003400000000397</v>
      </c>
      <c r="N91" s="6">
        <v>576.7944</v>
      </c>
      <c r="O91" s="12"/>
    </row>
    <row r="92" spans="1:15" x14ac:dyDescent="0.25">
      <c r="A92" s="14" t="s">
        <v>20</v>
      </c>
      <c r="B92" s="3">
        <v>22</v>
      </c>
      <c r="C92" s="1">
        <v>41.541648000000002</v>
      </c>
      <c r="D92" s="1">
        <v>41.565182999999998</v>
      </c>
      <c r="E92" s="2">
        <f t="shared" si="52"/>
        <v>2.3534999999995421E-2</v>
      </c>
      <c r="F92" s="6">
        <v>5348.4888000000001</v>
      </c>
      <c r="G92" s="12">
        <f>bdrate(F92:F95,C92:C95,F92:F95,D92:D95)</f>
        <v>-4.8813918199506534E-2</v>
      </c>
      <c r="I92" s="14" t="s">
        <v>20</v>
      </c>
      <c r="J92" s="3">
        <v>22</v>
      </c>
      <c r="K92" s="1">
        <v>41.541648000000002</v>
      </c>
      <c r="L92" s="1">
        <v>41.564708000000003</v>
      </c>
      <c r="M92" s="2">
        <f t="shared" si="53"/>
        <v>2.3060000000000969E-2</v>
      </c>
      <c r="N92" s="6">
        <v>5348.4888000000001</v>
      </c>
      <c r="O92" s="12">
        <f>bdrate(N92:N95,K92:K95,N92:N95,L92:L95)</f>
        <v>-4.6094310884324141E-2</v>
      </c>
    </row>
    <row r="93" spans="1:15" x14ac:dyDescent="0.25">
      <c r="A93" s="15"/>
      <c r="B93" s="3">
        <v>27</v>
      </c>
      <c r="C93" s="1">
        <v>39.473677000000002</v>
      </c>
      <c r="D93" s="1">
        <v>39.594425999999999</v>
      </c>
      <c r="E93" s="2">
        <f t="shared" si="52"/>
        <v>0.12074899999999644</v>
      </c>
      <c r="F93" s="6">
        <v>2314.9951999999998</v>
      </c>
      <c r="G93" s="12"/>
      <c r="I93" s="15"/>
      <c r="J93" s="3">
        <v>27</v>
      </c>
      <c r="K93" s="1">
        <v>39.473677000000002</v>
      </c>
      <c r="L93" s="1">
        <v>39.597821000000003</v>
      </c>
      <c r="M93" s="2">
        <f t="shared" si="53"/>
        <v>0.12414400000000114</v>
      </c>
      <c r="N93" s="6">
        <v>2314.9951999999998</v>
      </c>
      <c r="O93" s="12"/>
    </row>
    <row r="94" spans="1:15" x14ac:dyDescent="0.25">
      <c r="A94" s="15"/>
      <c r="B94" s="3">
        <v>32</v>
      </c>
      <c r="C94" s="1">
        <v>37.189129000000001</v>
      </c>
      <c r="D94" s="1">
        <v>37.380358000000001</v>
      </c>
      <c r="E94" s="2">
        <f t="shared" si="52"/>
        <v>0.19122899999999987</v>
      </c>
      <c r="F94" s="6">
        <v>1151.3224</v>
      </c>
      <c r="G94" s="12"/>
      <c r="I94" s="15"/>
      <c r="J94" s="3">
        <v>32</v>
      </c>
      <c r="K94" s="1">
        <v>37.189129000000001</v>
      </c>
      <c r="L94" s="1">
        <v>37.370221000000001</v>
      </c>
      <c r="M94" s="2">
        <f t="shared" si="53"/>
        <v>0.18109199999999959</v>
      </c>
      <c r="N94" s="6">
        <v>1151.3224</v>
      </c>
      <c r="O94" s="12"/>
    </row>
    <row r="95" spans="1:15" x14ac:dyDescent="0.25">
      <c r="A95" s="16"/>
      <c r="B95" s="3">
        <v>37</v>
      </c>
      <c r="C95" s="1">
        <v>35.138016999999998</v>
      </c>
      <c r="D95" s="1">
        <v>35.3782</v>
      </c>
      <c r="E95" s="2">
        <f t="shared" si="52"/>
        <v>0.24018300000000181</v>
      </c>
      <c r="F95" s="6">
        <v>582.5752</v>
      </c>
      <c r="G95" s="12"/>
      <c r="I95" s="16"/>
      <c r="J95" s="3">
        <v>37</v>
      </c>
      <c r="K95" s="1">
        <v>35.138016999999998</v>
      </c>
      <c r="L95" s="1">
        <v>35.324454000000003</v>
      </c>
      <c r="M95" s="2">
        <f t="shared" si="53"/>
        <v>0.18643700000000507</v>
      </c>
      <c r="N95" s="6">
        <v>582.5752</v>
      </c>
      <c r="O95" s="12"/>
    </row>
    <row r="96" spans="1:15" x14ac:dyDescent="0.25">
      <c r="A96" s="14" t="s">
        <v>21</v>
      </c>
      <c r="B96" s="3">
        <v>22</v>
      </c>
      <c r="C96" s="1">
        <v>39.839488000000003</v>
      </c>
      <c r="D96" s="1">
        <v>39.859293999999998</v>
      </c>
      <c r="E96" s="2">
        <f t="shared" si="52"/>
        <v>1.9805999999995549E-2</v>
      </c>
      <c r="F96" s="6">
        <v>8412.8024000000005</v>
      </c>
      <c r="G96" s="12">
        <f>bdrate(F96:F99,C96:C99,F96:F99,D96:D99)</f>
        <v>-4.3420393888602749E-2</v>
      </c>
      <c r="I96" s="14" t="s">
        <v>21</v>
      </c>
      <c r="J96" s="3">
        <v>22</v>
      </c>
      <c r="K96" s="1">
        <v>39.839488000000003</v>
      </c>
      <c r="L96" s="1">
        <v>39.869357999999998</v>
      </c>
      <c r="M96" s="2">
        <f t="shared" si="53"/>
        <v>2.98699999999954E-2</v>
      </c>
      <c r="N96" s="6">
        <v>8412.8024000000005</v>
      </c>
      <c r="O96" s="12">
        <f>bdrate(N96:N99,K96:K99,N96:N99,L96:L99)</f>
        <v>-4.2951734606873404E-2</v>
      </c>
    </row>
    <row r="97" spans="1:15" x14ac:dyDescent="0.25">
      <c r="A97" s="15"/>
      <c r="B97" s="3">
        <v>27</v>
      </c>
      <c r="C97" s="1">
        <v>37.139826999999997</v>
      </c>
      <c r="D97" s="1">
        <v>37.233814000000002</v>
      </c>
      <c r="E97" s="2">
        <f t="shared" si="52"/>
        <v>9.3987000000005594E-2</v>
      </c>
      <c r="F97" s="6">
        <v>3178.1583999999998</v>
      </c>
      <c r="G97" s="12"/>
      <c r="I97" s="15"/>
      <c r="J97" s="3">
        <v>27</v>
      </c>
      <c r="K97" s="1">
        <v>37.139826999999997</v>
      </c>
      <c r="L97" s="1">
        <v>37.245196</v>
      </c>
      <c r="M97" s="2">
        <f t="shared" si="53"/>
        <v>0.10536900000000315</v>
      </c>
      <c r="N97" s="6">
        <v>3178.1583999999998</v>
      </c>
      <c r="O97" s="12"/>
    </row>
    <row r="98" spans="1:15" x14ac:dyDescent="0.25">
      <c r="A98" s="15"/>
      <c r="B98" s="3">
        <v>32</v>
      </c>
      <c r="C98" s="1">
        <v>34.999021999999997</v>
      </c>
      <c r="D98" s="1">
        <v>35.137805</v>
      </c>
      <c r="E98" s="2">
        <f t="shared" si="52"/>
        <v>0.13878300000000365</v>
      </c>
      <c r="F98" s="6">
        <v>1357.9992</v>
      </c>
      <c r="G98" s="12"/>
      <c r="I98" s="15"/>
      <c r="J98" s="3">
        <v>32</v>
      </c>
      <c r="K98" s="1">
        <v>34.999021999999997</v>
      </c>
      <c r="L98" s="1">
        <v>35.121262000000002</v>
      </c>
      <c r="M98" s="2">
        <f t="shared" si="53"/>
        <v>0.12224000000000501</v>
      </c>
      <c r="N98" s="6">
        <v>1357.9992</v>
      </c>
      <c r="O98" s="12"/>
    </row>
    <row r="99" spans="1:15" x14ac:dyDescent="0.25">
      <c r="A99" s="16"/>
      <c r="B99" s="3">
        <v>37</v>
      </c>
      <c r="C99" s="1">
        <v>33.391950999999999</v>
      </c>
      <c r="D99" s="1">
        <v>33.565089</v>
      </c>
      <c r="E99" s="2">
        <f t="shared" si="52"/>
        <v>0.17313800000000157</v>
      </c>
      <c r="F99" s="6">
        <v>594.37840000000006</v>
      </c>
      <c r="G99" s="12"/>
      <c r="I99" s="16"/>
      <c r="J99" s="3">
        <v>37</v>
      </c>
      <c r="K99" s="1">
        <v>33.391950999999999</v>
      </c>
      <c r="L99" s="1">
        <v>33.547711999999997</v>
      </c>
      <c r="M99" s="2">
        <f t="shared" si="53"/>
        <v>0.15576099999999826</v>
      </c>
      <c r="N99" s="6">
        <v>594.37840000000006</v>
      </c>
      <c r="O99" s="12"/>
    </row>
    <row r="100" spans="1:15" x14ac:dyDescent="0.25">
      <c r="A100" s="14" t="s">
        <v>22</v>
      </c>
      <c r="B100" s="3">
        <v>22</v>
      </c>
      <c r="C100" s="1">
        <v>38.531269000000002</v>
      </c>
      <c r="D100" s="1">
        <v>38.580528000000001</v>
      </c>
      <c r="E100" s="2">
        <f t="shared" si="52"/>
        <v>4.9258999999999276E-2</v>
      </c>
      <c r="F100" s="6">
        <v>26326.313699999999</v>
      </c>
      <c r="G100" s="12">
        <f>bdrate(F100:F103,C100:C103,F100:F103,D100:D103)</f>
        <v>-7.240633197925439E-2</v>
      </c>
      <c r="I100" s="14" t="s">
        <v>22</v>
      </c>
      <c r="J100" s="3">
        <v>22</v>
      </c>
      <c r="K100" s="1">
        <v>38.531269000000002</v>
      </c>
      <c r="L100" s="1">
        <v>38.587300999999997</v>
      </c>
      <c r="M100" s="2">
        <f t="shared" si="53"/>
        <v>5.6031999999994753E-2</v>
      </c>
      <c r="N100" s="6">
        <v>26326.313699999999</v>
      </c>
      <c r="O100" s="12">
        <f>bdrate(N100:N103,K100:K103,N100:N103,L100:L103)</f>
        <v>-6.9328299558300555E-2</v>
      </c>
    </row>
    <row r="101" spans="1:15" x14ac:dyDescent="0.25">
      <c r="A101" s="15"/>
      <c r="B101" s="3">
        <v>27</v>
      </c>
      <c r="C101" s="1">
        <v>36.643881</v>
      </c>
      <c r="D101" s="1">
        <v>36.759816999999998</v>
      </c>
      <c r="E101" s="2">
        <f t="shared" si="52"/>
        <v>0.11593599999999782</v>
      </c>
      <c r="F101" s="6">
        <v>6924.0156999999999</v>
      </c>
      <c r="G101" s="12"/>
      <c r="I101" s="15"/>
      <c r="J101" s="3">
        <v>27</v>
      </c>
      <c r="K101" s="1">
        <v>36.643881</v>
      </c>
      <c r="L101" s="1">
        <v>36.768391000000001</v>
      </c>
      <c r="M101" s="2">
        <f t="shared" si="53"/>
        <v>0.12451000000000079</v>
      </c>
      <c r="N101" s="6">
        <v>6924.0156999999999</v>
      </c>
      <c r="O101" s="12"/>
    </row>
    <row r="102" spans="1:15" x14ac:dyDescent="0.25">
      <c r="A102" s="15"/>
      <c r="B102" s="3">
        <v>32</v>
      </c>
      <c r="C102" s="1">
        <v>35.128048999999997</v>
      </c>
      <c r="D102" s="1">
        <v>35.307046</v>
      </c>
      <c r="E102" s="2">
        <f t="shared" si="52"/>
        <v>0.17899700000000252</v>
      </c>
      <c r="F102" s="6">
        <v>3174.8863000000001</v>
      </c>
      <c r="G102" s="12"/>
      <c r="I102" s="15"/>
      <c r="J102" s="3">
        <v>32</v>
      </c>
      <c r="K102" s="1">
        <v>35.128048999999997</v>
      </c>
      <c r="L102" s="1">
        <v>35.275191</v>
      </c>
      <c r="M102" s="2">
        <f t="shared" si="53"/>
        <v>0.14714200000000233</v>
      </c>
      <c r="N102" s="6">
        <v>3174.8863000000001</v>
      </c>
      <c r="O102" s="12"/>
    </row>
    <row r="103" spans="1:15" x14ac:dyDescent="0.25">
      <c r="A103" s="16"/>
      <c r="B103" s="3">
        <v>37</v>
      </c>
      <c r="C103" s="1">
        <v>33.749006999999999</v>
      </c>
      <c r="D103" s="1">
        <v>33.946261</v>
      </c>
      <c r="E103" s="2">
        <f t="shared" si="52"/>
        <v>0.19725400000000093</v>
      </c>
      <c r="F103" s="6">
        <v>1584.3136999999999</v>
      </c>
      <c r="G103" s="12"/>
      <c r="I103" s="16"/>
      <c r="J103" s="3">
        <v>37</v>
      </c>
      <c r="K103" s="1">
        <v>33.749006999999999</v>
      </c>
      <c r="L103" s="1">
        <v>33.925268000000003</v>
      </c>
      <c r="M103" s="2">
        <f t="shared" si="53"/>
        <v>0.17626100000000378</v>
      </c>
      <c r="N103" s="6">
        <v>1584.3136999999999</v>
      </c>
      <c r="O103" s="12"/>
    </row>
    <row r="104" spans="1:15" x14ac:dyDescent="0.25">
      <c r="A104" s="14" t="s">
        <v>23</v>
      </c>
      <c r="B104" s="3">
        <v>22</v>
      </c>
      <c r="C104" s="1">
        <v>39.748967999999998</v>
      </c>
      <c r="D104" s="1">
        <v>39.711666000000001</v>
      </c>
      <c r="E104" s="2">
        <f t="shared" si="52"/>
        <v>-3.7301999999996838E-2</v>
      </c>
      <c r="F104" s="6">
        <v>16529.466700000001</v>
      </c>
      <c r="G104" s="12">
        <f>bdrate(F104:F107,C104:C107,F104:F107,D104:D107)</f>
        <v>-5.0183972799057508E-2</v>
      </c>
      <c r="I104" s="14" t="s">
        <v>23</v>
      </c>
      <c r="J104" s="3">
        <v>22</v>
      </c>
      <c r="K104" s="1">
        <v>39.748967999999998</v>
      </c>
      <c r="L104" s="1">
        <v>39.724508999999998</v>
      </c>
      <c r="M104" s="2">
        <f t="shared" si="53"/>
        <v>-2.4459000000000231E-2</v>
      </c>
      <c r="N104" s="6">
        <v>16529.466700000001</v>
      </c>
      <c r="O104" s="12">
        <f>bdrate(N104:N107,K104:K107,N104:N107,L104:L107)</f>
        <v>-4.9419747727460606E-2</v>
      </c>
    </row>
    <row r="105" spans="1:15" x14ac:dyDescent="0.25">
      <c r="A105" s="15"/>
      <c r="B105" s="3">
        <v>27</v>
      </c>
      <c r="C105" s="1">
        <v>38.236037000000003</v>
      </c>
      <c r="D105" s="1">
        <v>38.301651999999997</v>
      </c>
      <c r="E105" s="2">
        <f t="shared" si="52"/>
        <v>6.5614999999993984E-2</v>
      </c>
      <c r="F105" s="6">
        <v>5688.9647000000004</v>
      </c>
      <c r="G105" s="12"/>
      <c r="I105" s="15"/>
      <c r="J105" s="3">
        <v>27</v>
      </c>
      <c r="K105" s="1">
        <v>38.236037000000003</v>
      </c>
      <c r="L105" s="1">
        <v>38.316372999999999</v>
      </c>
      <c r="M105" s="2">
        <f t="shared" si="53"/>
        <v>8.0335999999995522E-2</v>
      </c>
      <c r="N105" s="6">
        <v>5688.9647000000004</v>
      </c>
      <c r="O105" s="12"/>
    </row>
    <row r="106" spans="1:15" x14ac:dyDescent="0.25">
      <c r="A106" s="15"/>
      <c r="B106" s="3">
        <v>32</v>
      </c>
      <c r="C106" s="1">
        <v>36.771481000000001</v>
      </c>
      <c r="D106" s="1">
        <v>36.950775</v>
      </c>
      <c r="E106" s="2">
        <f t="shared" si="52"/>
        <v>0.17929399999999873</v>
      </c>
      <c r="F106" s="6">
        <v>2803.6941000000002</v>
      </c>
      <c r="G106" s="12"/>
      <c r="I106" s="15"/>
      <c r="J106" s="3">
        <v>32</v>
      </c>
      <c r="K106" s="1">
        <v>36.771481000000001</v>
      </c>
      <c r="L106" s="1">
        <v>36.922465000000003</v>
      </c>
      <c r="M106" s="2">
        <f t="shared" si="53"/>
        <v>0.15098400000000112</v>
      </c>
      <c r="N106" s="6">
        <v>2803.6941000000002</v>
      </c>
      <c r="O106" s="12"/>
    </row>
    <row r="107" spans="1:15" x14ac:dyDescent="0.25">
      <c r="A107" s="16"/>
      <c r="B107" s="3">
        <v>37</v>
      </c>
      <c r="C107" s="1">
        <v>35.254002</v>
      </c>
      <c r="D107" s="1">
        <v>35.468915000000003</v>
      </c>
      <c r="E107" s="2">
        <f t="shared" si="52"/>
        <v>0.2149130000000028</v>
      </c>
      <c r="F107" s="6">
        <v>1493.2941000000001</v>
      </c>
      <c r="G107" s="12"/>
      <c r="I107" s="16"/>
      <c r="J107" s="3">
        <v>37</v>
      </c>
      <c r="K107" s="1">
        <v>35.254002</v>
      </c>
      <c r="L107" s="1">
        <v>35.460929999999998</v>
      </c>
      <c r="M107" s="2">
        <f t="shared" si="53"/>
        <v>0.20692799999999778</v>
      </c>
      <c r="N107" s="6">
        <v>1493.2941000000001</v>
      </c>
      <c r="O107" s="12"/>
    </row>
    <row r="108" spans="1:15" x14ac:dyDescent="0.25">
      <c r="A108" s="15" t="s">
        <v>8</v>
      </c>
      <c r="B108" s="3">
        <v>22</v>
      </c>
      <c r="C108" s="1">
        <v>39.707650999999998</v>
      </c>
      <c r="D108" s="1">
        <v>39.785366000000003</v>
      </c>
      <c r="E108" s="2">
        <f t="shared" si="52"/>
        <v>7.7715000000004864E-2</v>
      </c>
      <c r="F108" s="6">
        <v>4683.0074000000004</v>
      </c>
      <c r="G108" s="12">
        <f>bdrate(F108:F111,C108:C111,F108:F111,D108:D111)</f>
        <v>-5.0694950486797508E-2</v>
      </c>
      <c r="I108" s="15" t="s">
        <v>8</v>
      </c>
      <c r="J108" s="3">
        <v>22</v>
      </c>
      <c r="K108" s="1">
        <v>39.707650999999998</v>
      </c>
      <c r="L108" s="1">
        <v>39.795693</v>
      </c>
      <c r="M108" s="2">
        <f t="shared" si="53"/>
        <v>8.8042000000001508E-2</v>
      </c>
      <c r="N108" s="6">
        <v>4683.0074000000004</v>
      </c>
      <c r="O108" s="12">
        <f>bdrate(N108:N111,K108:K111,N108:N111,L108:L111)</f>
        <v>-5.2808921085931937E-2</v>
      </c>
    </row>
    <row r="109" spans="1:15" x14ac:dyDescent="0.25">
      <c r="A109" s="15"/>
      <c r="B109" s="3">
        <v>27</v>
      </c>
      <c r="C109" s="1">
        <v>36.495704000000003</v>
      </c>
      <c r="D109" s="1">
        <v>36.637452000000003</v>
      </c>
      <c r="E109" s="2">
        <f t="shared" si="52"/>
        <v>0.14174799999999976</v>
      </c>
      <c r="F109" s="6">
        <v>1791.9462000000001</v>
      </c>
      <c r="G109" s="12"/>
      <c r="I109" s="15"/>
      <c r="J109" s="3">
        <v>27</v>
      </c>
      <c r="K109" s="1">
        <v>36.495704000000003</v>
      </c>
      <c r="L109" s="1">
        <v>36.641863999999998</v>
      </c>
      <c r="M109" s="2">
        <f t="shared" si="53"/>
        <v>0.14615999999999474</v>
      </c>
      <c r="N109" s="6">
        <v>1791.9462000000001</v>
      </c>
      <c r="O109" s="12"/>
    </row>
    <row r="110" spans="1:15" x14ac:dyDescent="0.25">
      <c r="A110" s="15"/>
      <c r="B110" s="3">
        <v>32</v>
      </c>
      <c r="C110" s="1">
        <v>34.538325999999998</v>
      </c>
      <c r="D110" s="1">
        <v>34.683483000000003</v>
      </c>
      <c r="E110" s="2">
        <f t="shared" si="52"/>
        <v>0.14515700000000464</v>
      </c>
      <c r="F110" s="6">
        <v>806.93439999999998</v>
      </c>
      <c r="G110" s="12"/>
      <c r="I110" s="15"/>
      <c r="J110" s="3">
        <v>32</v>
      </c>
      <c r="K110" s="1">
        <v>34.538325999999998</v>
      </c>
      <c r="L110" s="1">
        <v>34.698486000000003</v>
      </c>
      <c r="M110" s="2">
        <f t="shared" si="53"/>
        <v>0.16016000000000474</v>
      </c>
      <c r="N110" s="6">
        <v>806.93439999999998</v>
      </c>
      <c r="O110" s="12"/>
    </row>
    <row r="111" spans="1:15" x14ac:dyDescent="0.25">
      <c r="A111" s="16"/>
      <c r="B111" s="3">
        <v>37</v>
      </c>
      <c r="C111" s="1">
        <v>33.01352</v>
      </c>
      <c r="D111" s="1">
        <v>33.179882999999997</v>
      </c>
      <c r="E111" s="2">
        <f t="shared" si="52"/>
        <v>0.16636299999999693</v>
      </c>
      <c r="F111" s="6">
        <v>374.7149</v>
      </c>
      <c r="G111" s="12"/>
      <c r="I111" s="16"/>
      <c r="J111" s="3">
        <v>37</v>
      </c>
      <c r="K111" s="1">
        <v>33.01352</v>
      </c>
      <c r="L111" s="1">
        <v>33.162332999999997</v>
      </c>
      <c r="M111" s="2">
        <f t="shared" si="53"/>
        <v>0.14881299999999698</v>
      </c>
      <c r="N111" s="6">
        <v>374.7149</v>
      </c>
      <c r="O111" s="12"/>
    </row>
    <row r="112" spans="1:15" x14ac:dyDescent="0.25">
      <c r="A112" s="14" t="s">
        <v>24</v>
      </c>
      <c r="B112" s="3">
        <v>22</v>
      </c>
      <c r="C112" s="1">
        <v>40.183391</v>
      </c>
      <c r="D112" s="1">
        <v>40.379547000000002</v>
      </c>
      <c r="E112" s="2">
        <f t="shared" si="52"/>
        <v>0.196156000000002</v>
      </c>
      <c r="F112" s="6">
        <v>3835.3568</v>
      </c>
      <c r="G112" s="12">
        <f>bdrate(F112:F115,C112:C115,F112:F115,D112:D115)</f>
        <v>-6.8887390535350757E-2</v>
      </c>
      <c r="I112" s="14" t="s">
        <v>24</v>
      </c>
      <c r="J112" s="3">
        <v>22</v>
      </c>
      <c r="K112" s="1">
        <v>40.183391</v>
      </c>
      <c r="L112" s="1">
        <v>40.422280000000001</v>
      </c>
      <c r="M112" s="2">
        <f t="shared" si="53"/>
        <v>0.23888900000000035</v>
      </c>
      <c r="N112" s="6">
        <v>3835.3568</v>
      </c>
      <c r="O112" s="12">
        <f>bdrate(N112:N115,K112:K115,N112:N115,L112:L115)</f>
        <v>-7.4598306070076337E-2</v>
      </c>
    </row>
    <row r="113" spans="1:15" x14ac:dyDescent="0.25">
      <c r="A113" s="15"/>
      <c r="B113" s="3">
        <v>27</v>
      </c>
      <c r="C113" s="1">
        <v>37.153754999999997</v>
      </c>
      <c r="D113" s="1">
        <v>37.382387999999999</v>
      </c>
      <c r="E113" s="2">
        <f t="shared" si="52"/>
        <v>0.22863300000000208</v>
      </c>
      <c r="F113" s="6">
        <v>1709.02</v>
      </c>
      <c r="G113" s="12"/>
      <c r="I113" s="15"/>
      <c r="J113" s="3">
        <v>27</v>
      </c>
      <c r="K113" s="1">
        <v>37.153754999999997</v>
      </c>
      <c r="L113" s="1">
        <v>37.417537000000003</v>
      </c>
      <c r="M113" s="2">
        <f t="shared" si="53"/>
        <v>0.26378200000000618</v>
      </c>
      <c r="N113" s="6">
        <v>1709.02</v>
      </c>
      <c r="O113" s="12"/>
    </row>
    <row r="114" spans="1:15" x14ac:dyDescent="0.25">
      <c r="A114" s="15"/>
      <c r="B114" s="3">
        <v>32</v>
      </c>
      <c r="C114" s="1">
        <v>34.909120000000001</v>
      </c>
      <c r="D114" s="1">
        <v>35.141652999999998</v>
      </c>
      <c r="E114" s="2">
        <f t="shared" si="52"/>
        <v>0.23253299999999655</v>
      </c>
      <c r="F114" s="6">
        <v>839.97360000000003</v>
      </c>
      <c r="G114" s="12"/>
      <c r="I114" s="15"/>
      <c r="J114" s="3">
        <v>32</v>
      </c>
      <c r="K114" s="1">
        <v>34.909120000000001</v>
      </c>
      <c r="L114" s="1">
        <v>35.147216999999998</v>
      </c>
      <c r="M114" s="2">
        <f t="shared" si="53"/>
        <v>0.23809699999999623</v>
      </c>
      <c r="N114" s="6">
        <v>839.97360000000003</v>
      </c>
      <c r="O114" s="12"/>
    </row>
    <row r="115" spans="1:15" x14ac:dyDescent="0.25">
      <c r="A115" s="16"/>
      <c r="B115" s="3">
        <v>37</v>
      </c>
      <c r="C115" s="1">
        <v>33.363435000000003</v>
      </c>
      <c r="D115" s="1">
        <v>33.582566</v>
      </c>
      <c r="E115" s="2">
        <f t="shared" si="52"/>
        <v>0.2191309999999973</v>
      </c>
      <c r="F115" s="6">
        <v>438.36079999999998</v>
      </c>
      <c r="G115" s="12"/>
      <c r="I115" s="16"/>
      <c r="J115" s="3">
        <v>37</v>
      </c>
      <c r="K115" s="1">
        <v>33.363435000000003</v>
      </c>
      <c r="L115" s="1">
        <v>33.555688000000004</v>
      </c>
      <c r="M115" s="2">
        <f t="shared" si="53"/>
        <v>0.1922530000000009</v>
      </c>
      <c r="N115" s="6">
        <v>438.36079999999998</v>
      </c>
      <c r="O115" s="12"/>
    </row>
    <row r="116" spans="1:15" x14ac:dyDescent="0.25">
      <c r="A116" s="14" t="s">
        <v>25</v>
      </c>
      <c r="B116" s="3">
        <v>22</v>
      </c>
      <c r="C116" s="1">
        <v>40.033467999999999</v>
      </c>
      <c r="D116" s="1">
        <v>40.132531999999998</v>
      </c>
      <c r="E116" s="2">
        <f t="shared" si="52"/>
        <v>9.9063999999998487E-2</v>
      </c>
      <c r="F116" s="6">
        <v>4553.4175999999998</v>
      </c>
      <c r="G116" s="12">
        <f>bdrate(F116:F119,C116:C119,F116:F119,D116:D119)</f>
        <v>-6.4652020186824921E-2</v>
      </c>
      <c r="I116" s="14" t="s">
        <v>25</v>
      </c>
      <c r="J116" s="3">
        <v>22</v>
      </c>
      <c r="K116" s="1">
        <v>40.033467999999999</v>
      </c>
      <c r="L116" s="1">
        <v>40.143365000000003</v>
      </c>
      <c r="M116" s="2">
        <f t="shared" si="53"/>
        <v>0.10989700000000369</v>
      </c>
      <c r="N116" s="6">
        <v>4553.4175999999998</v>
      </c>
      <c r="O116" s="12">
        <f>bdrate(N116:N119,K116:K119,N116:N119,L116:L119)</f>
        <v>-6.6250105407230642E-2</v>
      </c>
    </row>
    <row r="117" spans="1:15" x14ac:dyDescent="0.25">
      <c r="A117" s="15"/>
      <c r="B117" s="3">
        <v>27</v>
      </c>
      <c r="C117" s="1">
        <v>37.360081999999998</v>
      </c>
      <c r="D117" s="1">
        <v>37.542285999999997</v>
      </c>
      <c r="E117" s="2">
        <f t="shared" si="52"/>
        <v>0.1822039999999987</v>
      </c>
      <c r="F117" s="6">
        <v>1913.4359999999999</v>
      </c>
      <c r="G117" s="12"/>
      <c r="I117" s="15"/>
      <c r="J117" s="3">
        <v>27</v>
      </c>
      <c r="K117" s="1">
        <v>37.360081999999998</v>
      </c>
      <c r="L117" s="1">
        <v>37.559840999999999</v>
      </c>
      <c r="M117" s="2">
        <f t="shared" si="53"/>
        <v>0.19975900000000024</v>
      </c>
      <c r="N117" s="6">
        <v>1913.4359999999999</v>
      </c>
      <c r="O117" s="12"/>
    </row>
    <row r="118" spans="1:15" x14ac:dyDescent="0.25">
      <c r="A118" s="15"/>
      <c r="B118" s="3">
        <v>32</v>
      </c>
      <c r="C118" s="1">
        <v>35.184871999999999</v>
      </c>
      <c r="D118" s="1">
        <v>35.412536000000003</v>
      </c>
      <c r="E118" s="2">
        <f t="shared" si="52"/>
        <v>0.22766400000000431</v>
      </c>
      <c r="F118" s="6">
        <v>928.27520000000004</v>
      </c>
      <c r="G118" s="12"/>
      <c r="I118" s="15"/>
      <c r="J118" s="3">
        <v>32</v>
      </c>
      <c r="K118" s="1">
        <v>35.184871999999999</v>
      </c>
      <c r="L118" s="1">
        <v>35.40607</v>
      </c>
      <c r="M118" s="2">
        <f t="shared" si="53"/>
        <v>0.22119800000000112</v>
      </c>
      <c r="N118" s="6">
        <v>928.27520000000004</v>
      </c>
      <c r="O118" s="12"/>
    </row>
    <row r="119" spans="1:15" x14ac:dyDescent="0.25">
      <c r="A119" s="16"/>
      <c r="B119" s="3">
        <v>37</v>
      </c>
      <c r="C119" s="1">
        <v>33.466562000000003</v>
      </c>
      <c r="D119" s="1">
        <v>33.719437999999997</v>
      </c>
      <c r="E119" s="2">
        <f t="shared" si="52"/>
        <v>0.25287599999999344</v>
      </c>
      <c r="F119" s="6">
        <v>471.99200000000002</v>
      </c>
      <c r="G119" s="12"/>
      <c r="I119" s="16"/>
      <c r="J119" s="3">
        <v>37</v>
      </c>
      <c r="K119" s="1">
        <v>33.466562000000003</v>
      </c>
      <c r="L119" s="1">
        <v>33.700550999999997</v>
      </c>
      <c r="M119" s="2">
        <f t="shared" si="53"/>
        <v>0.23398899999999401</v>
      </c>
      <c r="N119" s="6">
        <v>471.99200000000002</v>
      </c>
      <c r="O119" s="12"/>
    </row>
    <row r="120" spans="1:15" x14ac:dyDescent="0.25">
      <c r="A120" s="14" t="s">
        <v>26</v>
      </c>
      <c r="B120" s="3">
        <v>22</v>
      </c>
      <c r="C120" s="1">
        <v>38.268937999999999</v>
      </c>
      <c r="D120" s="1">
        <v>38.279122999999998</v>
      </c>
      <c r="E120" s="2">
        <f t="shared" si="52"/>
        <v>1.0184999999999889E-2</v>
      </c>
      <c r="F120" s="6">
        <v>9132.9624000000003</v>
      </c>
      <c r="G120" s="12">
        <f>bdrate(F120:F123,C120:C123,F120:F123,D120:D123)</f>
        <v>-3.9186438667637824E-2</v>
      </c>
      <c r="I120" s="14" t="s">
        <v>26</v>
      </c>
      <c r="J120" s="3">
        <v>22</v>
      </c>
      <c r="K120" s="1">
        <v>38.268937999999999</v>
      </c>
      <c r="L120" s="1">
        <v>38.280642999999998</v>
      </c>
      <c r="M120" s="2">
        <f t="shared" si="53"/>
        <v>1.1704999999999188E-2</v>
      </c>
      <c r="N120" s="6">
        <v>9132.9624000000003</v>
      </c>
      <c r="O120" s="12">
        <f>bdrate(N120:N123,K120:K123,N120:N123,L120:L123)</f>
        <v>-4.2428051506000042E-2</v>
      </c>
    </row>
    <row r="121" spans="1:15" x14ac:dyDescent="0.25">
      <c r="A121" s="15"/>
      <c r="B121" s="3">
        <v>27</v>
      </c>
      <c r="C121" s="1">
        <v>34.798848</v>
      </c>
      <c r="D121" s="1">
        <v>34.912461</v>
      </c>
      <c r="E121" s="2">
        <f t="shared" si="52"/>
        <v>0.11361300000000085</v>
      </c>
      <c r="F121" s="6">
        <v>3530.556</v>
      </c>
      <c r="G121" s="12"/>
      <c r="I121" s="15"/>
      <c r="J121" s="3">
        <v>27</v>
      </c>
      <c r="K121" s="1">
        <v>34.798848</v>
      </c>
      <c r="L121" s="1">
        <v>34.927616999999998</v>
      </c>
      <c r="M121" s="2">
        <f t="shared" si="53"/>
        <v>0.12876899999999836</v>
      </c>
      <c r="N121" s="6">
        <v>3530.556</v>
      </c>
      <c r="O121" s="12"/>
    </row>
    <row r="122" spans="1:15" x14ac:dyDescent="0.25">
      <c r="A122" s="15"/>
      <c r="B122" s="3">
        <v>32</v>
      </c>
      <c r="C122" s="1">
        <v>32.64631</v>
      </c>
      <c r="D122" s="1">
        <v>32.768703000000002</v>
      </c>
      <c r="E122" s="2">
        <f t="shared" si="52"/>
        <v>0.12239300000000242</v>
      </c>
      <c r="F122" s="6">
        <v>1541.7136</v>
      </c>
      <c r="G122" s="12"/>
      <c r="I122" s="15"/>
      <c r="J122" s="3">
        <v>32</v>
      </c>
      <c r="K122" s="1">
        <v>32.64631</v>
      </c>
      <c r="L122" s="1">
        <v>32.775004000000003</v>
      </c>
      <c r="M122" s="2">
        <f t="shared" si="53"/>
        <v>0.12869400000000297</v>
      </c>
      <c r="N122" s="6">
        <v>1541.7136</v>
      </c>
      <c r="O122" s="12"/>
    </row>
    <row r="123" spans="1:15" x14ac:dyDescent="0.25">
      <c r="A123" s="16"/>
      <c r="B123" s="3">
        <v>37</v>
      </c>
      <c r="C123" s="1">
        <v>31.258496999999998</v>
      </c>
      <c r="D123" s="1">
        <v>31.394387999999999</v>
      </c>
      <c r="E123" s="2">
        <f t="shared" si="52"/>
        <v>0.13589100000000087</v>
      </c>
      <c r="F123" s="6">
        <v>662.74639999999999</v>
      </c>
      <c r="G123" s="12"/>
      <c r="I123" s="16"/>
      <c r="J123" s="3">
        <v>37</v>
      </c>
      <c r="K123" s="1">
        <v>31.258496999999998</v>
      </c>
      <c r="L123" s="1">
        <v>31.394096000000001</v>
      </c>
      <c r="M123" s="2">
        <f t="shared" si="53"/>
        <v>0.13559900000000269</v>
      </c>
      <c r="N123" s="6">
        <v>662.74639999999999</v>
      </c>
      <c r="O123" s="12"/>
    </row>
    <row r="124" spans="1:15" x14ac:dyDescent="0.25">
      <c r="A124" s="15" t="s">
        <v>3</v>
      </c>
      <c r="B124" s="3">
        <v>22</v>
      </c>
      <c r="C124" s="1">
        <v>38.326048</v>
      </c>
      <c r="D124" s="1">
        <v>38.384245</v>
      </c>
      <c r="E124" s="2">
        <f t="shared" si="52"/>
        <v>5.8196999999999832E-2</v>
      </c>
      <c r="F124" s="6">
        <v>1078.4396999999999</v>
      </c>
      <c r="G124" s="12">
        <f>bdrate(F124:F127,C124:C127,F124:F127,D124:D127)</f>
        <v>-6.5935989848596055E-2</v>
      </c>
      <c r="I124" s="15" t="s">
        <v>3</v>
      </c>
      <c r="J124" s="3">
        <v>22</v>
      </c>
      <c r="K124" s="1">
        <v>38.326048</v>
      </c>
      <c r="L124" s="1">
        <v>38.400821999999998</v>
      </c>
      <c r="M124" s="2">
        <f t="shared" si="53"/>
        <v>7.4773999999997898E-2</v>
      </c>
      <c r="N124" s="6">
        <v>1078.4396999999999</v>
      </c>
      <c r="O124" s="12">
        <f>bdrate(N124:N127,K124:K127,N124:N127,L124:L127)</f>
        <v>-6.9042253765058792E-2</v>
      </c>
    </row>
    <row r="125" spans="1:15" x14ac:dyDescent="0.25">
      <c r="A125" s="15"/>
      <c r="B125" s="3">
        <v>27</v>
      </c>
      <c r="C125" s="1">
        <v>34.859856999999998</v>
      </c>
      <c r="D125" s="1">
        <v>34.997492999999999</v>
      </c>
      <c r="E125" s="2">
        <f t="shared" si="52"/>
        <v>0.13763600000000054</v>
      </c>
      <c r="F125" s="6">
        <v>356.76350000000002</v>
      </c>
      <c r="G125" s="12"/>
      <c r="I125" s="15"/>
      <c r="J125" s="3">
        <v>27</v>
      </c>
      <c r="K125" s="1">
        <v>34.859856999999998</v>
      </c>
      <c r="L125" s="1">
        <v>35.001212000000002</v>
      </c>
      <c r="M125" s="2">
        <f t="shared" si="53"/>
        <v>0.14135500000000434</v>
      </c>
      <c r="N125" s="6">
        <v>356.76350000000002</v>
      </c>
      <c r="O125" s="12"/>
    </row>
    <row r="126" spans="1:15" x14ac:dyDescent="0.25">
      <c r="A126" s="15"/>
      <c r="B126" s="3">
        <v>32</v>
      </c>
      <c r="C126" s="1">
        <v>32.954554999999999</v>
      </c>
      <c r="D126" s="1">
        <v>33.149645</v>
      </c>
      <c r="E126" s="2">
        <f t="shared" si="52"/>
        <v>0.19509000000000043</v>
      </c>
      <c r="F126" s="6">
        <v>137.61699999999999</v>
      </c>
      <c r="G126" s="12"/>
      <c r="I126" s="15"/>
      <c r="J126" s="3">
        <v>32</v>
      </c>
      <c r="K126" s="1">
        <v>32.954554999999999</v>
      </c>
      <c r="L126" s="1">
        <v>33.162605999999997</v>
      </c>
      <c r="M126" s="2">
        <f t="shared" si="53"/>
        <v>0.20805099999999754</v>
      </c>
      <c r="N126" s="6">
        <v>137.61699999999999</v>
      </c>
      <c r="O126" s="12"/>
    </row>
    <row r="127" spans="1:15" x14ac:dyDescent="0.25">
      <c r="A127" s="16"/>
      <c r="B127" s="3">
        <v>37</v>
      </c>
      <c r="C127" s="1">
        <v>31.831443</v>
      </c>
      <c r="D127" s="1">
        <v>32.018174000000002</v>
      </c>
      <c r="E127" s="2">
        <f t="shared" si="52"/>
        <v>0.18673100000000176</v>
      </c>
      <c r="F127" s="6">
        <v>55.680599999999998</v>
      </c>
      <c r="G127" s="12"/>
      <c r="I127" s="16"/>
      <c r="J127" s="3">
        <v>37</v>
      </c>
      <c r="K127" s="1">
        <v>31.831443</v>
      </c>
      <c r="L127" s="1">
        <v>32.018529999999998</v>
      </c>
      <c r="M127" s="2">
        <f t="shared" si="53"/>
        <v>0.18708699999999823</v>
      </c>
      <c r="N127" s="6">
        <v>55.680599999999998</v>
      </c>
      <c r="O127" s="12"/>
    </row>
    <row r="128" spans="1:15" x14ac:dyDescent="0.25">
      <c r="A128" s="14" t="s">
        <v>18</v>
      </c>
      <c r="B128" s="3">
        <v>22</v>
      </c>
      <c r="C128" s="1">
        <v>38.049844999999998</v>
      </c>
      <c r="D128" s="1">
        <v>38.097707</v>
      </c>
      <c r="E128" s="2">
        <f t="shared" si="52"/>
        <v>4.786200000000207E-2</v>
      </c>
      <c r="F128" s="6">
        <v>2129.1831999999999</v>
      </c>
      <c r="G128" s="12">
        <f>bdrate(F128:F131,C128:C131,F128:F131,D128:D131)</f>
        <v>-4.8419925999992675E-2</v>
      </c>
      <c r="I128" s="14" t="s">
        <v>18</v>
      </c>
      <c r="J128" s="3">
        <v>22</v>
      </c>
      <c r="K128" s="1">
        <v>38.049844999999998</v>
      </c>
      <c r="L128" s="1">
        <v>38.102069999999998</v>
      </c>
      <c r="M128" s="2">
        <f t="shared" si="53"/>
        <v>5.2224999999999966E-2</v>
      </c>
      <c r="N128" s="6">
        <v>2129.1831999999999</v>
      </c>
      <c r="O128" s="12">
        <f>bdrate(N128:N131,K128:K131,N128:N131,L128:L131)</f>
        <v>-5.0867602370051057E-2</v>
      </c>
    </row>
    <row r="129" spans="1:15" x14ac:dyDescent="0.25">
      <c r="A129" s="15"/>
      <c r="B129" s="3">
        <v>27</v>
      </c>
      <c r="C129" s="1">
        <v>34.656528999999999</v>
      </c>
      <c r="D129" s="1">
        <v>34.792946000000001</v>
      </c>
      <c r="E129" s="2">
        <f t="shared" si="52"/>
        <v>0.13641700000000156</v>
      </c>
      <c r="F129" s="6">
        <v>831.92719999999997</v>
      </c>
      <c r="G129" s="12"/>
      <c r="I129" s="15"/>
      <c r="J129" s="3">
        <v>27</v>
      </c>
      <c r="K129" s="1">
        <v>34.656528999999999</v>
      </c>
      <c r="L129" s="1">
        <v>34.816144000000001</v>
      </c>
      <c r="M129" s="2">
        <f t="shared" si="53"/>
        <v>0.15961500000000228</v>
      </c>
      <c r="N129" s="6">
        <v>831.92719999999997</v>
      </c>
      <c r="O129" s="12"/>
    </row>
    <row r="130" spans="1:15" x14ac:dyDescent="0.25">
      <c r="A130" s="15"/>
      <c r="B130" s="3">
        <v>32</v>
      </c>
      <c r="C130" s="1">
        <v>32.411636999999999</v>
      </c>
      <c r="D130" s="1">
        <v>32.539780999999998</v>
      </c>
      <c r="E130" s="2">
        <f t="shared" si="52"/>
        <v>0.12814399999999893</v>
      </c>
      <c r="F130" s="6">
        <v>358.91840000000002</v>
      </c>
      <c r="G130" s="12"/>
      <c r="I130" s="15"/>
      <c r="J130" s="3">
        <v>32</v>
      </c>
      <c r="K130" s="1">
        <v>32.411636999999999</v>
      </c>
      <c r="L130" s="1">
        <v>32.563772999999998</v>
      </c>
      <c r="M130" s="2">
        <f t="shared" si="53"/>
        <v>0.15213599999999872</v>
      </c>
      <c r="N130" s="6">
        <v>358.91840000000002</v>
      </c>
      <c r="O130" s="12"/>
    </row>
    <row r="131" spans="1:15" x14ac:dyDescent="0.25">
      <c r="A131" s="16"/>
      <c r="B131" s="3">
        <v>37</v>
      </c>
      <c r="C131" s="1">
        <v>31.047965999999999</v>
      </c>
      <c r="D131" s="1">
        <v>31.272030999999998</v>
      </c>
      <c r="E131" s="2">
        <f>D131-C131</f>
        <v>0.22406499999999951</v>
      </c>
      <c r="F131" s="6">
        <v>153.9136</v>
      </c>
      <c r="G131" s="12"/>
      <c r="I131" s="16"/>
      <c r="J131" s="3">
        <v>37</v>
      </c>
      <c r="K131" s="1">
        <v>31.047965999999999</v>
      </c>
      <c r="L131" s="1">
        <v>31.162839999999999</v>
      </c>
      <c r="M131" s="2">
        <f>L131-K131</f>
        <v>0.11487400000000036</v>
      </c>
      <c r="N131" s="6">
        <v>153.9136</v>
      </c>
      <c r="O131" s="12"/>
    </row>
    <row r="132" spans="1:15" x14ac:dyDescent="0.25">
      <c r="A132" s="14" t="s">
        <v>27</v>
      </c>
      <c r="B132" s="3">
        <v>22</v>
      </c>
      <c r="C132" s="1">
        <v>40.745308999999999</v>
      </c>
      <c r="D132" s="1">
        <v>40.928396999999997</v>
      </c>
      <c r="E132" s="2">
        <f t="shared" ref="E132:E134" si="54">D132-C132</f>
        <v>0.18308799999999792</v>
      </c>
      <c r="F132" s="6">
        <v>1718.5935999999999</v>
      </c>
      <c r="G132" s="12">
        <f>bdrate(F132:F135,C132:C135,F132:F135,D132:D135)</f>
        <v>-5.1407366639250829E-2</v>
      </c>
      <c r="I132" s="14" t="s">
        <v>27</v>
      </c>
      <c r="J132" s="3">
        <v>22</v>
      </c>
      <c r="K132" s="1">
        <v>40.745308999999999</v>
      </c>
      <c r="L132" s="1">
        <v>40.936768999999998</v>
      </c>
      <c r="M132" s="2">
        <f t="shared" ref="M132:M134" si="55">L132-K132</f>
        <v>0.1914599999999993</v>
      </c>
      <c r="N132" s="6">
        <v>1718.5935999999999</v>
      </c>
      <c r="O132" s="12">
        <f>bdrate(N132:N135,K132:K135,N132:N135,L132:L135)</f>
        <v>-5.4317900397434338E-2</v>
      </c>
    </row>
    <row r="133" spans="1:15" x14ac:dyDescent="0.25">
      <c r="A133" s="15"/>
      <c r="B133" s="3">
        <v>27</v>
      </c>
      <c r="C133" s="1">
        <v>37.190930999999999</v>
      </c>
      <c r="D133" s="1">
        <v>37.405543999999999</v>
      </c>
      <c r="E133" s="2">
        <f t="shared" si="54"/>
        <v>0.21461299999999994</v>
      </c>
      <c r="F133" s="6">
        <v>826.81759999999997</v>
      </c>
      <c r="G133" s="12"/>
      <c r="I133" s="15"/>
      <c r="J133" s="3">
        <v>27</v>
      </c>
      <c r="K133" s="1">
        <v>37.190930999999999</v>
      </c>
      <c r="L133" s="1">
        <v>37.430315</v>
      </c>
      <c r="M133" s="2">
        <f t="shared" si="55"/>
        <v>0.23938400000000115</v>
      </c>
      <c r="N133" s="6">
        <v>826.81759999999997</v>
      </c>
      <c r="O133" s="12"/>
    </row>
    <row r="134" spans="1:15" x14ac:dyDescent="0.25">
      <c r="A134" s="15"/>
      <c r="B134" s="3">
        <v>32</v>
      </c>
      <c r="C134" s="1">
        <v>34.728324999999998</v>
      </c>
      <c r="D134" s="1">
        <v>34.919628000000003</v>
      </c>
      <c r="E134" s="2">
        <f t="shared" si="54"/>
        <v>0.19130300000000489</v>
      </c>
      <c r="F134" s="6">
        <v>418.3784</v>
      </c>
      <c r="G134" s="12"/>
      <c r="I134" s="15"/>
      <c r="J134" s="3">
        <v>32</v>
      </c>
      <c r="K134" s="1">
        <v>34.728324999999998</v>
      </c>
      <c r="L134" s="1">
        <v>34.919966000000002</v>
      </c>
      <c r="M134" s="2">
        <f t="shared" si="55"/>
        <v>0.19164100000000417</v>
      </c>
      <c r="N134" s="6">
        <v>418.3784</v>
      </c>
      <c r="O134" s="12"/>
    </row>
    <row r="135" spans="1:15" x14ac:dyDescent="0.25">
      <c r="A135" s="16"/>
      <c r="B135" s="3">
        <v>37</v>
      </c>
      <c r="C135" s="1">
        <v>32.962758999999998</v>
      </c>
      <c r="D135" s="1">
        <v>33.137484000000001</v>
      </c>
      <c r="E135" s="2">
        <f>D135-C135</f>
        <v>0.17472500000000224</v>
      </c>
      <c r="F135" s="6">
        <v>217.11199999999999</v>
      </c>
      <c r="G135" s="12"/>
      <c r="I135" s="16"/>
      <c r="J135" s="3">
        <v>37</v>
      </c>
      <c r="K135" s="1">
        <v>32.962758999999998</v>
      </c>
      <c r="L135" s="1">
        <v>33.134058000000003</v>
      </c>
      <c r="M135" s="2">
        <f>L135-K135</f>
        <v>0.17129900000000475</v>
      </c>
      <c r="N135" s="6">
        <v>217.11199999999999</v>
      </c>
      <c r="O135" s="12"/>
    </row>
    <row r="136" spans="1:15" x14ac:dyDescent="0.25">
      <c r="A136" s="14" t="s">
        <v>17</v>
      </c>
      <c r="B136" s="3">
        <v>22</v>
      </c>
      <c r="C136" s="1">
        <v>39.697128999999997</v>
      </c>
      <c r="D136" s="1">
        <v>39.941647000000003</v>
      </c>
      <c r="E136" s="2">
        <f t="shared" si="52"/>
        <v>0.24451800000000645</v>
      </c>
      <c r="F136" s="6">
        <v>1343.7575999999999</v>
      </c>
      <c r="G136" s="12">
        <f>bdrate(F136:F139,C136:C139,F136:F139,D136:D139)</f>
        <v>-6.0861916845468489E-2</v>
      </c>
      <c r="I136" s="14" t="s">
        <v>17</v>
      </c>
      <c r="J136" s="3">
        <v>22</v>
      </c>
      <c r="K136" s="1">
        <v>39.697128999999997</v>
      </c>
      <c r="L136" s="1">
        <v>39.955098</v>
      </c>
      <c r="M136" s="2">
        <f t="shared" si="53"/>
        <v>0.25796900000000278</v>
      </c>
      <c r="N136" s="6">
        <v>1343.7575999999999</v>
      </c>
      <c r="O136" s="12">
        <f>bdrate(N136:N139,K136:K139,N136:N139,L136:L139)</f>
        <v>-6.398124914419745E-2</v>
      </c>
    </row>
    <row r="137" spans="1:15" x14ac:dyDescent="0.25">
      <c r="A137" s="15"/>
      <c r="B137" s="3">
        <v>27</v>
      </c>
      <c r="C137" s="1">
        <v>36.048966</v>
      </c>
      <c r="D137" s="1">
        <v>36.295718000000001</v>
      </c>
      <c r="E137" s="2">
        <f t="shared" si="52"/>
        <v>0.24675200000000075</v>
      </c>
      <c r="F137" s="6">
        <v>614.8904</v>
      </c>
      <c r="G137" s="12"/>
      <c r="I137" s="15"/>
      <c r="J137" s="3">
        <v>27</v>
      </c>
      <c r="K137" s="1">
        <v>36.048966</v>
      </c>
      <c r="L137" s="1">
        <v>36.315696000000003</v>
      </c>
      <c r="M137" s="2">
        <f t="shared" si="53"/>
        <v>0.26673000000000258</v>
      </c>
      <c r="N137" s="6">
        <v>614.8904</v>
      </c>
      <c r="O137" s="12"/>
    </row>
    <row r="138" spans="1:15" x14ac:dyDescent="0.25">
      <c r="A138" s="15"/>
      <c r="B138" s="3">
        <v>32</v>
      </c>
      <c r="C138" s="1">
        <v>33.609796000000003</v>
      </c>
      <c r="D138" s="1">
        <v>33.794496000000002</v>
      </c>
      <c r="E138" s="2">
        <f t="shared" si="52"/>
        <v>0.18469999999999942</v>
      </c>
      <c r="F138" s="6">
        <v>298.25599999999997</v>
      </c>
      <c r="G138" s="12"/>
      <c r="I138" s="15"/>
      <c r="J138" s="3">
        <v>32</v>
      </c>
      <c r="K138" s="1">
        <v>33.609796000000003</v>
      </c>
      <c r="L138" s="1">
        <v>33.801895000000002</v>
      </c>
      <c r="M138" s="2">
        <f t="shared" si="53"/>
        <v>0.19209899999999891</v>
      </c>
      <c r="N138" s="6">
        <v>298.25599999999997</v>
      </c>
      <c r="O138" s="12"/>
    </row>
    <row r="139" spans="1:15" x14ac:dyDescent="0.25">
      <c r="A139" s="16"/>
      <c r="B139" s="3">
        <v>37</v>
      </c>
      <c r="C139" s="1">
        <v>32.064509000000001</v>
      </c>
      <c r="D139" s="1">
        <v>32.237234000000001</v>
      </c>
      <c r="E139" s="2">
        <f>D139-C139</f>
        <v>0.1727249999999998</v>
      </c>
      <c r="F139" s="6">
        <v>146.852</v>
      </c>
      <c r="G139" s="12"/>
      <c r="I139" s="16"/>
      <c r="J139" s="3">
        <v>37</v>
      </c>
      <c r="K139" s="1">
        <v>32.064509000000001</v>
      </c>
      <c r="L139" s="1">
        <v>32.227437999999999</v>
      </c>
      <c r="M139" s="2">
        <f>L139-K139</f>
        <v>0.16292899999999833</v>
      </c>
      <c r="N139" s="6">
        <v>146.852</v>
      </c>
      <c r="O139" s="12"/>
    </row>
    <row r="140" spans="1:15" x14ac:dyDescent="0.25">
      <c r="A140" s="15" t="s">
        <v>9</v>
      </c>
      <c r="B140" s="3">
        <v>22</v>
      </c>
      <c r="C140" s="1">
        <v>42.755110000000002</v>
      </c>
      <c r="D140" s="1">
        <v>42.672260999999999</v>
      </c>
      <c r="E140" s="2">
        <f t="shared" si="52"/>
        <v>-8.2849000000003059E-2</v>
      </c>
      <c r="F140" s="6">
        <v>1110.3586</v>
      </c>
      <c r="G140" s="12">
        <f>bdrate(F140:F143,C140:C143,F140:F143,D140:D143)</f>
        <v>-5.4743426329045053E-2</v>
      </c>
      <c r="I140" s="15" t="s">
        <v>9</v>
      </c>
      <c r="J140" s="3">
        <v>22</v>
      </c>
      <c r="K140" s="1">
        <v>42.755110000000002</v>
      </c>
      <c r="L140" s="1">
        <v>42.656143</v>
      </c>
      <c r="M140" s="2">
        <f t="shared" si="53"/>
        <v>-9.8967000000001804E-2</v>
      </c>
      <c r="N140" s="6">
        <v>1110.3586</v>
      </c>
      <c r="O140" s="12">
        <f>bdrate(N140:N143,K140:K143,N140:N143,L140:L143)</f>
        <v>-4.8174827223951389E-2</v>
      </c>
    </row>
    <row r="141" spans="1:15" x14ac:dyDescent="0.25">
      <c r="A141" s="15"/>
      <c r="B141" s="3">
        <v>27</v>
      </c>
      <c r="C141" s="1">
        <v>40.983392000000002</v>
      </c>
      <c r="D141" s="1">
        <v>41.060287000000002</v>
      </c>
      <c r="E141" s="2">
        <f t="shared" si="52"/>
        <v>7.689500000000038E-2</v>
      </c>
      <c r="F141" s="6">
        <v>310.0951</v>
      </c>
      <c r="G141" s="12"/>
      <c r="I141" s="15"/>
      <c r="J141" s="3">
        <v>27</v>
      </c>
      <c r="K141" s="1">
        <v>40.983392000000002</v>
      </c>
      <c r="L141" s="1">
        <v>41.070174999999999</v>
      </c>
      <c r="M141" s="2">
        <f t="shared" si="53"/>
        <v>8.6782999999996946E-2</v>
      </c>
      <c r="N141" s="6">
        <v>310.0951</v>
      </c>
      <c r="O141" s="12"/>
    </row>
    <row r="142" spans="1:15" x14ac:dyDescent="0.25">
      <c r="A142" s="15"/>
      <c r="B142" s="3">
        <v>32</v>
      </c>
      <c r="C142" s="1">
        <v>39.243965000000003</v>
      </c>
      <c r="D142" s="1">
        <v>39.483122000000002</v>
      </c>
      <c r="E142" s="2">
        <f t="shared" si="52"/>
        <v>0.23915699999999873</v>
      </c>
      <c r="F142" s="6">
        <v>140.32939999999999</v>
      </c>
      <c r="G142" s="12"/>
      <c r="I142" s="15"/>
      <c r="J142" s="3">
        <v>32</v>
      </c>
      <c r="K142" s="1">
        <v>39.243965000000003</v>
      </c>
      <c r="L142" s="1">
        <v>39.446125000000002</v>
      </c>
      <c r="M142" s="2">
        <f t="shared" si="53"/>
        <v>0.20215999999999923</v>
      </c>
      <c r="N142" s="6">
        <v>140.32939999999999</v>
      </c>
      <c r="O142" s="12"/>
    </row>
    <row r="143" spans="1:15" ht="15.75" thickBot="1" x14ac:dyDescent="0.3">
      <c r="A143" s="17"/>
      <c r="B143" s="3">
        <v>37</v>
      </c>
      <c r="C143" s="7">
        <v>37.497562000000002</v>
      </c>
      <c r="D143" s="7">
        <v>37.783873</v>
      </c>
      <c r="E143" s="8">
        <f t="shared" si="52"/>
        <v>0.28631099999999776</v>
      </c>
      <c r="F143" s="9">
        <v>75.124700000000004</v>
      </c>
      <c r="G143" s="12"/>
      <c r="I143" s="17"/>
      <c r="J143" s="3">
        <v>37</v>
      </c>
      <c r="K143" s="7">
        <v>37.497562000000002</v>
      </c>
      <c r="L143" s="7">
        <v>37.734305999999997</v>
      </c>
      <c r="M143" s="8">
        <f t="shared" si="53"/>
        <v>0.23674399999999451</v>
      </c>
      <c r="N143" s="9">
        <v>75.124700000000004</v>
      </c>
      <c r="O143" s="12"/>
    </row>
    <row r="144" spans="1:15" x14ac:dyDescent="0.25">
      <c r="A144" s="14" t="s">
        <v>28</v>
      </c>
      <c r="B144" s="3">
        <v>22</v>
      </c>
      <c r="C144" s="1">
        <v>42.407677</v>
      </c>
      <c r="D144" s="1">
        <v>42.513415999999999</v>
      </c>
      <c r="E144" s="2">
        <f t="shared" ref="E144:E146" si="56">D144-C144</f>
        <v>0.10573899999999981</v>
      </c>
      <c r="F144" s="6">
        <v>2411.3624</v>
      </c>
      <c r="G144" s="12">
        <f>bdrate(F144:F147,C144:C147,F144:F147,D144:D147)</f>
        <v>-9.6183209730237196E-2</v>
      </c>
      <c r="I144" s="14" t="s">
        <v>28</v>
      </c>
      <c r="J144" s="3">
        <v>22</v>
      </c>
      <c r="K144" s="1">
        <v>42.407677</v>
      </c>
      <c r="L144" s="1">
        <v>42.520076000000003</v>
      </c>
      <c r="M144" s="2">
        <f t="shared" ref="M144:M146" si="57">L144-K144</f>
        <v>0.11239900000000347</v>
      </c>
      <c r="N144" s="6">
        <v>2411.3624</v>
      </c>
      <c r="O144" s="12">
        <f>bdrate(N144:N147,K144:K147,N144:N147,L144:L147)</f>
        <v>-9.4457824157474168E-2</v>
      </c>
    </row>
    <row r="145" spans="1:15" x14ac:dyDescent="0.25">
      <c r="A145" s="15"/>
      <c r="B145" s="3">
        <v>27</v>
      </c>
      <c r="C145" s="1">
        <v>40.210045000000001</v>
      </c>
      <c r="D145" s="1">
        <v>40.438966999999998</v>
      </c>
      <c r="E145" s="2">
        <f t="shared" si="56"/>
        <v>0.22892199999999718</v>
      </c>
      <c r="F145" s="6">
        <v>869.35919999999999</v>
      </c>
      <c r="G145" s="12"/>
      <c r="I145" s="15"/>
      <c r="J145" s="3">
        <v>27</v>
      </c>
      <c r="K145" s="1">
        <v>40.210045000000001</v>
      </c>
      <c r="L145" s="1">
        <v>40.463991</v>
      </c>
      <c r="M145" s="2">
        <f t="shared" si="57"/>
        <v>0.25394599999999912</v>
      </c>
      <c r="N145" s="6">
        <v>869.35919999999999</v>
      </c>
      <c r="O145" s="12"/>
    </row>
    <row r="146" spans="1:15" x14ac:dyDescent="0.25">
      <c r="A146" s="15"/>
      <c r="B146" s="3">
        <v>32</v>
      </c>
      <c r="C146" s="1">
        <v>37.930039999999998</v>
      </c>
      <c r="D146" s="1">
        <v>38.321100999999999</v>
      </c>
      <c r="E146" s="2">
        <f t="shared" si="56"/>
        <v>0.39106100000000055</v>
      </c>
      <c r="F146" s="6">
        <v>427.01119999999997</v>
      </c>
      <c r="G146" s="12"/>
      <c r="I146" s="15"/>
      <c r="J146" s="3">
        <v>32</v>
      </c>
      <c r="K146" s="1">
        <v>37.930039999999998</v>
      </c>
      <c r="L146" s="1">
        <v>38.279881000000003</v>
      </c>
      <c r="M146" s="2">
        <f t="shared" si="57"/>
        <v>0.34984100000000495</v>
      </c>
      <c r="N146" s="6">
        <v>427.01119999999997</v>
      </c>
      <c r="O146" s="12"/>
    </row>
    <row r="147" spans="1:15" x14ac:dyDescent="0.25">
      <c r="A147" s="16"/>
      <c r="B147" s="3">
        <v>37</v>
      </c>
      <c r="C147" s="1">
        <v>35.783710999999997</v>
      </c>
      <c r="D147" s="1">
        <v>36.232165999999999</v>
      </c>
      <c r="E147" s="2">
        <f>D147-C147</f>
        <v>0.44845500000000271</v>
      </c>
      <c r="F147" s="6">
        <v>226.34559999999999</v>
      </c>
      <c r="G147" s="12"/>
      <c r="I147" s="16"/>
      <c r="J147" s="3">
        <v>37</v>
      </c>
      <c r="K147" s="1">
        <v>35.783710999999997</v>
      </c>
      <c r="L147" s="1">
        <v>36.196192000000003</v>
      </c>
      <c r="M147" s="2">
        <f>L147-K147</f>
        <v>0.41248100000000676</v>
      </c>
      <c r="N147" s="6">
        <v>226.34559999999999</v>
      </c>
      <c r="O147" s="12"/>
    </row>
    <row r="148" spans="1:15" x14ac:dyDescent="0.25">
      <c r="A148" s="14" t="s">
        <v>29</v>
      </c>
      <c r="B148" s="3">
        <v>22</v>
      </c>
      <c r="C148" s="1">
        <v>43.149239000000001</v>
      </c>
      <c r="D148" s="1">
        <v>43.106416000000003</v>
      </c>
      <c r="E148" s="2">
        <f t="shared" ref="E148:E150" si="58">D148-C148</f>
        <v>-4.2822999999998501E-2</v>
      </c>
      <c r="F148" s="6">
        <v>2174.0351999999998</v>
      </c>
      <c r="G148" s="12">
        <f>bdrate(F148:F151,C148:C151,F148:F151,D148:D151)</f>
        <v>-7.7079556288913609E-2</v>
      </c>
      <c r="I148" s="14" t="s">
        <v>29</v>
      </c>
      <c r="J148" s="3">
        <v>22</v>
      </c>
      <c r="K148" s="1">
        <v>43.149239000000001</v>
      </c>
      <c r="L148" s="1">
        <v>43.112457999999997</v>
      </c>
      <c r="M148" s="2">
        <f t="shared" ref="M148:M150" si="59">L148-K148</f>
        <v>-3.6781000000004838E-2</v>
      </c>
      <c r="N148" s="6">
        <v>2174.0351999999998</v>
      </c>
      <c r="O148" s="12">
        <f>bdrate(N148:N151,K148:K151,N148:N151,L148:L151)</f>
        <v>-6.9811511854923625E-2</v>
      </c>
    </row>
    <row r="149" spans="1:15" x14ac:dyDescent="0.25">
      <c r="A149" s="15"/>
      <c r="B149" s="3">
        <v>27</v>
      </c>
      <c r="C149" s="1">
        <v>41.106603999999997</v>
      </c>
      <c r="D149" s="1">
        <v>41.250779000000001</v>
      </c>
      <c r="E149" s="2">
        <f t="shared" si="58"/>
        <v>0.14417500000000416</v>
      </c>
      <c r="F149" s="6">
        <v>716.80960000000005</v>
      </c>
      <c r="G149" s="12"/>
      <c r="I149" s="15"/>
      <c r="J149" s="3">
        <v>27</v>
      </c>
      <c r="K149" s="1">
        <v>41.106603999999997</v>
      </c>
      <c r="L149" s="1">
        <v>41.259563</v>
      </c>
      <c r="M149" s="2">
        <f t="shared" si="59"/>
        <v>0.15295900000000273</v>
      </c>
      <c r="N149" s="6">
        <v>716.80960000000005</v>
      </c>
      <c r="O149" s="12"/>
    </row>
    <row r="150" spans="1:15" x14ac:dyDescent="0.25">
      <c r="A150" s="15"/>
      <c r="B150" s="3">
        <v>32</v>
      </c>
      <c r="C150" s="1">
        <v>39.018914000000002</v>
      </c>
      <c r="D150" s="1">
        <v>39.342464</v>
      </c>
      <c r="E150" s="2">
        <f t="shared" si="58"/>
        <v>0.32354999999999734</v>
      </c>
      <c r="F150" s="6">
        <v>324.61599999999999</v>
      </c>
      <c r="G150" s="12"/>
      <c r="I150" s="15"/>
      <c r="J150" s="3">
        <v>32</v>
      </c>
      <c r="K150" s="1">
        <v>39.018914000000002</v>
      </c>
      <c r="L150" s="1">
        <v>39.284709999999997</v>
      </c>
      <c r="M150" s="2">
        <f t="shared" si="59"/>
        <v>0.26579599999999459</v>
      </c>
      <c r="N150" s="6">
        <v>324.61599999999999</v>
      </c>
      <c r="O150" s="12"/>
    </row>
    <row r="151" spans="1:15" ht="15.75" thickBot="1" x14ac:dyDescent="0.3">
      <c r="A151" s="16"/>
      <c r="B151" s="3">
        <v>37</v>
      </c>
      <c r="C151" s="1">
        <v>36.988683000000002</v>
      </c>
      <c r="D151" s="1">
        <v>37.387296999999997</v>
      </c>
      <c r="E151" s="2">
        <f>D151-C151</f>
        <v>0.39861399999999492</v>
      </c>
      <c r="F151" s="6">
        <v>167.34559999999999</v>
      </c>
      <c r="G151" s="12"/>
      <c r="I151" s="16"/>
      <c r="J151" s="3">
        <v>37</v>
      </c>
      <c r="K151" s="1">
        <v>36.988683000000002</v>
      </c>
      <c r="L151" s="1">
        <v>37.336573000000001</v>
      </c>
      <c r="M151" s="2">
        <f>L151-K151</f>
        <v>0.34788999999999959</v>
      </c>
      <c r="N151" s="6">
        <v>167.34559999999999</v>
      </c>
      <c r="O151" s="12"/>
    </row>
    <row r="152" spans="1:15" ht="15.75" thickBot="1" x14ac:dyDescent="0.3">
      <c r="A152" s="11" t="s">
        <v>12</v>
      </c>
      <c r="B152" s="10"/>
      <c r="C152" s="10"/>
      <c r="D152" s="10"/>
      <c r="E152" s="2">
        <f xml:space="preserve"> AVERAGE(E80:E143)</f>
        <v>0.15589031250000002</v>
      </c>
      <c r="F152" s="10"/>
      <c r="G152" s="13">
        <f>AVERAGE(G80,G84,G88,G92,G96,G100,G104,G108,G112,G116,G120,G124,G128,G132,G136,G140,G144,G148)</f>
        <v>-6.1645992593265135E-2</v>
      </c>
      <c r="I152" s="11" t="s">
        <v>12</v>
      </c>
      <c r="J152" s="10"/>
      <c r="K152" s="10"/>
      <c r="L152" s="10"/>
      <c r="M152" s="2">
        <f xml:space="preserve"> AVERAGE(M80:M143)</f>
        <v>0.15556478125000001</v>
      </c>
      <c r="N152" s="10"/>
      <c r="O152" s="13">
        <f>AVERAGE(O80,O84,O88,O92,O96,O100,O104,O108,O112,O116,O120,O124,O128,O132,O136,O140,O144,O148)</f>
        <v>-6.2395665388200704E-2</v>
      </c>
    </row>
  </sheetData>
  <mergeCells count="114">
    <mergeCell ref="I144:I147"/>
    <mergeCell ref="I148:I151"/>
    <mergeCell ref="I120:I123"/>
    <mergeCell ref="I124:I127"/>
    <mergeCell ref="I128:I131"/>
    <mergeCell ref="I132:I135"/>
    <mergeCell ref="I136:I139"/>
    <mergeCell ref="I140:I143"/>
    <mergeCell ref="I96:I99"/>
    <mergeCell ref="I100:I103"/>
    <mergeCell ref="I104:I107"/>
    <mergeCell ref="I108:I111"/>
    <mergeCell ref="I112:I115"/>
    <mergeCell ref="I116:I119"/>
    <mergeCell ref="A132:A135"/>
    <mergeCell ref="A136:A139"/>
    <mergeCell ref="A140:A143"/>
    <mergeCell ref="A144:A147"/>
    <mergeCell ref="A148:A151"/>
    <mergeCell ref="I78:O78"/>
    <mergeCell ref="I80:I83"/>
    <mergeCell ref="I84:I87"/>
    <mergeCell ref="I88:I91"/>
    <mergeCell ref="I92:I95"/>
    <mergeCell ref="A108:A111"/>
    <mergeCell ref="A112:A115"/>
    <mergeCell ref="A116:A119"/>
    <mergeCell ref="A120:A123"/>
    <mergeCell ref="A124:A127"/>
    <mergeCell ref="A128:A131"/>
    <mergeCell ref="A84:A87"/>
    <mergeCell ref="A88:A91"/>
    <mergeCell ref="A92:A95"/>
    <mergeCell ref="A96:A99"/>
    <mergeCell ref="A100:A103"/>
    <mergeCell ref="A104:A107"/>
    <mergeCell ref="Y59:Y62"/>
    <mergeCell ref="Y63:Y66"/>
    <mergeCell ref="Y67:Y70"/>
    <mergeCell ref="Y71:Y74"/>
    <mergeCell ref="A78:G78"/>
    <mergeCell ref="A80:A83"/>
    <mergeCell ref="Y35:Y38"/>
    <mergeCell ref="Y39:Y42"/>
    <mergeCell ref="Y43:Y46"/>
    <mergeCell ref="Y47:Y50"/>
    <mergeCell ref="Y51:Y54"/>
    <mergeCell ref="Y55:Y58"/>
    <mergeCell ref="Q71:Q74"/>
    <mergeCell ref="Y1:AE1"/>
    <mergeCell ref="Y3:Y6"/>
    <mergeCell ref="Y7:Y10"/>
    <mergeCell ref="Y11:Y14"/>
    <mergeCell ref="Y15:Y18"/>
    <mergeCell ref="Y19:Y22"/>
    <mergeCell ref="Y23:Y26"/>
    <mergeCell ref="Y27:Y30"/>
    <mergeCell ref="Y31:Y34"/>
    <mergeCell ref="Q47:Q50"/>
    <mergeCell ref="Q51:Q54"/>
    <mergeCell ref="Q55:Q58"/>
    <mergeCell ref="Q59:Q62"/>
    <mergeCell ref="Q63:Q66"/>
    <mergeCell ref="Q67:Q70"/>
    <mergeCell ref="Q23:Q26"/>
    <mergeCell ref="Q27:Q30"/>
    <mergeCell ref="Q31:Q34"/>
    <mergeCell ref="Q35:Q38"/>
    <mergeCell ref="Q39:Q42"/>
    <mergeCell ref="Q43:Q46"/>
    <mergeCell ref="I59:I62"/>
    <mergeCell ref="I63:I66"/>
    <mergeCell ref="I67:I70"/>
    <mergeCell ref="I71:I74"/>
    <mergeCell ref="Q1:W1"/>
    <mergeCell ref="Q3:Q6"/>
    <mergeCell ref="Q7:Q10"/>
    <mergeCell ref="Q11:Q14"/>
    <mergeCell ref="Q15:Q18"/>
    <mergeCell ref="Q19:Q22"/>
    <mergeCell ref="I35:I38"/>
    <mergeCell ref="I39:I42"/>
    <mergeCell ref="I43:I46"/>
    <mergeCell ref="I47:I50"/>
    <mergeCell ref="I51:I54"/>
    <mergeCell ref="I55:I58"/>
    <mergeCell ref="A71:A74"/>
    <mergeCell ref="I1:O1"/>
    <mergeCell ref="I3:I6"/>
    <mergeCell ref="I7:I10"/>
    <mergeCell ref="I11:I14"/>
    <mergeCell ref="I15:I18"/>
    <mergeCell ref="I19:I22"/>
    <mergeCell ref="I23:I26"/>
    <mergeCell ref="I27:I30"/>
    <mergeCell ref="I31:I34"/>
    <mergeCell ref="A47:A50"/>
    <mergeCell ref="A51:A54"/>
    <mergeCell ref="A55:A58"/>
    <mergeCell ref="A59:A62"/>
    <mergeCell ref="A63:A66"/>
    <mergeCell ref="A67:A70"/>
    <mergeCell ref="A23:A26"/>
    <mergeCell ref="A27:A30"/>
    <mergeCell ref="A31:A34"/>
    <mergeCell ref="A35:A38"/>
    <mergeCell ref="A39:A42"/>
    <mergeCell ref="A43:A46"/>
    <mergeCell ref="A1:G1"/>
    <mergeCell ref="A3:A6"/>
    <mergeCell ref="A7:A10"/>
    <mergeCell ref="A11:A14"/>
    <mergeCell ref="A15:A18"/>
    <mergeCell ref="A19:A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Trinh Hoang</dc:creator>
  <cp:lastModifiedBy>Trinh Hoang</cp:lastModifiedBy>
  <dcterms:created xsi:type="dcterms:W3CDTF">2019-04-22T05:30:59Z</dcterms:created>
  <dcterms:modified xsi:type="dcterms:W3CDTF">2020-02-06T08:44:07Z</dcterms:modified>
</cp:coreProperties>
</file>